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Operaciones" sheetId="2" state="visible" r:id="rId4"/>
    <sheet name="Por hora" sheetId="3" state="visible" r:id="rId5"/>
    <sheet name="Por día de semana" sheetId="4" state="visible" r:id="rId6"/>
    <sheet name="Cooldown tras ganar" sheetId="5" state="visible" r:id="rId7"/>
    <sheet name="Días y racha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<sst xmlns="http://schemas.openxmlformats.org/spreadsheetml/2006/main" count="375" uniqueCount="105">
  <si>
    <t xml:space="preserve">Análisis de operaciones — XAU TL Break en US30 (5 min)</t>
  </si>
  <si>
    <t xml:space="preserve">Periodo 6 sept – 1 oct 2026 · capital 10K USD · horas en UTC-4</t>
  </si>
  <si>
    <t xml:space="preserve">Métrica</t>
  </si>
  <si>
    <t xml:space="preserve">Valor</t>
  </si>
  <si>
    <t xml:space="preserve">Nota</t>
  </si>
  <si>
    <t xml:space="preserve">Operaciones totales</t>
  </si>
  <si>
    <t xml:space="preserve">P/L neto total (USD)</t>
  </si>
  <si>
    <t xml:space="preserve">La captura del usuario mostraba +112.92 con 230 operaciones; diferencia no aclarada</t>
  </si>
  <si>
    <t xml:space="preserve">Operaciones ganadoras</t>
  </si>
  <si>
    <t xml:space="preserve">% de acierto</t>
  </si>
  <si>
    <t xml:space="preserve">Ganancia media (USD)</t>
  </si>
  <si>
    <t xml:space="preserve">Pérdida media (USD)</t>
  </si>
  <si>
    <t xml:space="preserve">Factor de ganancias</t>
  </si>
  <si>
    <t xml:space="preserve">Mejor operación (USD)</t>
  </si>
  <si>
    <t xml:space="preserve">Peor operación (USD)</t>
  </si>
  <si>
    <t xml:space="preserve">Duración mediana ganadoras (min)</t>
  </si>
  <si>
    <t xml:space="preserve">Fórmula matricial</t>
  </si>
  <si>
    <t xml:space="preserve">Duración mediana perdedoras (min)</t>
  </si>
  <si>
    <t xml:space="preserve">Ganadoras ≥ $10 (cantidad)</t>
  </si>
  <si>
    <t xml:space="preserve">Ganadoras ≥ $10 (suma USD)</t>
  </si>
  <si>
    <t xml:space="preserve">P/L sin las 5 mejores (USD)</t>
  </si>
  <si>
    <t xml:space="preserve">La rentabilidad depende de pocas operaciones grandes (normal con R:R 3)</t>
  </si>
  <si>
    <t xml:space="preserve">P/L Largos (USD)</t>
  </si>
  <si>
    <t xml:space="preserve">P/L Cortos (USD)</t>
  </si>
  <si>
    <t xml:space="preserve">Racha máxima de pérdidas</t>
  </si>
  <si>
    <t xml:space="preserve">Entre el 24 y 28 sept (calculado en Python)</t>
  </si>
  <si>
    <t xml:space="preserve">Conclusiones</t>
  </si>
  <si>
    <t xml:space="preserve">• Cooldown tras ganar: NO se sostiene con estos datos (ver hoja Cooldown). No activarlo.</t>
  </si>
  <si>
    <t xml:space="preserve">• Filtro horario: ruido estadístico (6–15 operaciones por hora). Horas candidatas a vigilar: 2, 8, 13 y 22. No calibrar ventana todavía.</t>
  </si>
  <si>
    <t xml:space="preserve">• Lunes pierde en ambas mitades del mes (factor 0.50/0.51) pero son solo 4 lunes: hipótesis a validar.</t>
  </si>
  <si>
    <t xml:space="preserve">• 24–28 sept: pérdidas de $5–10 vs ~$3 normales, probablemente ATR más alto (no verificado). Peores días: 24 sept (−60) y 28 sept (−46.5).</t>
  </si>
  <si>
    <t xml:space="preserve">• Recomendación: repetir el análisis con 3–6 meses antes de cambiar el EA.</t>
  </si>
  <si>
    <t xml:space="preserve">N°</t>
  </si>
  <si>
    <t xml:space="preserve">Lado</t>
  </si>
  <si>
    <t xml:space="preserve">Entrada</t>
  </si>
  <si>
    <t xml:space="preserve">Salida</t>
  </si>
  <si>
    <t xml:space="preserve">P/L neto (USD)</t>
  </si>
  <si>
    <t xml:space="preserve">Hora entrada</t>
  </si>
  <si>
    <t xml:space="preserve">Día semana (1=Lun)</t>
  </si>
  <si>
    <t xml:space="preserve">Ganadora (1/0)</t>
  </si>
  <si>
    <t xml:space="preserve">Duración (min)</t>
  </si>
  <si>
    <t xml:space="preserve">Corto</t>
  </si>
  <si>
    <t xml:space="preserve">Largo</t>
  </si>
  <si>
    <t xml:space="preserve">Fuente: lista de operaciones del Strategy Tester de TradingView (US30, 5 min, 6 sept–1 oct 2026, 10K USD), leída del navegador. Horas en la zona horaria del gráfico (UTC-4). Valores azules = datos de entrada.</t>
  </si>
  <si>
    <t xml:space="preserve">Rendimiento por hora de entrada (UTC-4)</t>
  </si>
  <si>
    <t xml:space="preserve">Hora</t>
  </si>
  <si>
    <t xml:space="preserve">Operaciones</t>
  </si>
  <si>
    <t xml:space="preserve">Ganadoras</t>
  </si>
  <si>
    <t xml:space="preserve">% acierto</t>
  </si>
  <si>
    <t xml:space="preserve">Factor ganancias</t>
  </si>
  <si>
    <t xml:space="preserve">Señal</t>
  </si>
  <si>
    <t xml:space="preserve">Total</t>
  </si>
  <si>
    <t xml:space="preserve">Bloques de 3 horas</t>
  </si>
  <si>
    <t xml:space="preserve">Desde</t>
  </si>
  <si>
    <t xml:space="preserve">Hasta (excl.)</t>
  </si>
  <si>
    <t xml:space="preserve">Confiabilidad: baja. Prueba fuera de muestra (horas malas de la 1ª mitad aplicadas a la 2ª): factor 0.99, no negativo. Solo 2, 8, 13 y 22 repiten como débiles en ambas pruebas.</t>
  </si>
  <si>
    <t xml:space="preserve">Rendimiento por día de la semana (hora de entrada)</t>
  </si>
  <si>
    <t xml:space="preserve">Día</t>
  </si>
  <si>
    <t xml:space="preserve">N° (1=Lun)</t>
  </si>
  <si>
    <t xml:space="preserve">Lunes</t>
  </si>
  <si>
    <t xml:space="preserve">Martes</t>
  </si>
  <si>
    <t xml:space="preserve">Miércoles</t>
  </si>
  <si>
    <t xml:space="preserve">Jueves</t>
  </si>
  <si>
    <t xml:space="preserve">Viernes</t>
  </si>
  <si>
    <t xml:space="preserve">Sábado</t>
  </si>
  <si>
    <t xml:space="preserve">Domingo (apertura)</t>
  </si>
  <si>
    <t xml:space="preserve">Lunes: factor 0.50 (1ª mitad) y 0.51 (2ª mitad), pero solo 4 lunes en la muestra. Hipótesis, no regla.</t>
  </si>
  <si>
    <t xml:space="preserve">¿Rinden peor las operaciones después de una ganadora?</t>
  </si>
  <si>
    <t xml:space="preserve">Valores calculados en Python sobre las 231 operaciones (se sostienen por si se recalcula la hoja, no son fórmulas). h1/h2 = primera/segunda mitad del mes.</t>
  </si>
  <si>
    <t xml:space="preserve">Escenario</t>
  </si>
  <si>
    <t xml:space="preserve">Grupo</t>
  </si>
  <si>
    <t xml:space="preserve">Inmediatamente después de una ganadora</t>
  </si>
  <si>
    <t xml:space="preserve">Siguiente operación</t>
  </si>
  <si>
    <t xml:space="preserve">Inmediatamente después de una perdedora</t>
  </si>
  <si>
    <t xml:space="preserve">Después de 2 pérdidas seguidas</t>
  </si>
  <si>
    <t xml:space="preserve">Cooldown "mismo día"</t>
  </si>
  <si>
    <t xml:space="preserve">BLOQUEADAS (entraron tras una ganadora del día)</t>
  </si>
  <si>
    <t xml:space="preserve">Permitidas (sin ganadora previa ese día)</t>
  </si>
  <si>
    <t xml:space="preserve">Cooldown 4 h</t>
  </si>
  <si>
    <t xml:space="preserve">BLOQUEADAS</t>
  </si>
  <si>
    <t xml:space="preserve">Permitidas</t>
  </si>
  <si>
    <t xml:space="preserve">Cooldown 6 h</t>
  </si>
  <si>
    <t xml:space="preserve">Cooldown 8 h</t>
  </si>
  <si>
    <t xml:space="preserve">Cooldown 12 h</t>
  </si>
  <si>
    <t xml:space="preserve">Cooldown 24 h</t>
  </si>
  <si>
    <t xml:space="preserve">Prueba por mitades (¿se repite el patrón?)</t>
  </si>
  <si>
    <t xml:space="preserve">Regla</t>
  </si>
  <si>
    <t xml:space="preserve">Mitad</t>
  </si>
  <si>
    <t xml:space="preserve">Bloqueadas: operaciones</t>
  </si>
  <si>
    <t xml:space="preserve">Bloqueadas: % acierto</t>
  </si>
  <si>
    <t xml:space="preserve">Bloqueadas: P/L (USD)</t>
  </si>
  <si>
    <t xml:space="preserve">Bloqueadas: factor</t>
  </si>
  <si>
    <t xml:space="preserve">Mismo día</t>
  </si>
  <si>
    <t xml:space="preserve">1ª mitad</t>
  </si>
  <si>
    <t xml:space="preserve">2ª mitad</t>
  </si>
  <si>
    <t xml:space="preserve">8 h</t>
  </si>
  <si>
    <t xml:space="preserve">12 h</t>
  </si>
  <si>
    <t xml:space="preserve">Lectura: las operaciones que un cooldown habría BLOQUEADO fueron rentables (factor 1.25–1.42) y lo siguen siendo en ambas mitades del mes. Lo que quedaba permitido perdía dinero. Un cooldown habría recortado ganancias, no pérdidas → no activarlo.</t>
  </si>
  <si>
    <t xml:space="preserve">P/L por día (fecha de entrada)</t>
  </si>
  <si>
    <t xml:space="preserve">Fecha</t>
  </si>
  <si>
    <t xml:space="preserve">Peor día (racha de pérdidas 24–28 sept)</t>
  </si>
  <si>
    <t xml:space="preserve">2º peor día</t>
  </si>
  <si>
    <t xml:space="preserve">2º mejor día</t>
  </si>
  <si>
    <t xml:space="preserve">Mejor día</t>
  </si>
  <si>
    <t xml:space="preserve">24–28 sept: pérdidas de $5–10 por operación vs ~$3 normales (probable ATR más alto, no verificado). Racha máxima: 13 pérdidas seguidas.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</si>
</sst>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"/>
    <numFmt numFmtId="166" formatCode="#,##0.00;[RED]\-#,##0.00"/>
    <numFmt numFmtId="167" formatCode="0.0%"/>
    <numFmt numFmtId="168" formatCode="#,##0.00"/>
    <numFmt numFmtId="169" formatCode="0.00"/>
    <numFmt numFmtId="170" formatCode="#,##0.0"/>
    <numFmt numFmtId="171" formatCode="yyyy\-mm\-dd\ hh:mm"/>
    <numFmt numFmtId="172" formatCode="0%"/>
    <numFmt numFmtId="173" formatCode="#,##0.0;[RED]\-#,##0.0"/>
    <numFmt numFmtId="174" formatCode="0.0"/>
    <numFmt numFmtId="175" formatCode="yyyy\-mm\-dd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3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CE4D6"/>
        </patternFill>
      </fill>
    </dxf>
    <dxf>
      <fill>
        <patternFill>
          <bgColor rgb="FFE2EF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8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f aca="false">COUNT(Operaciones!$E$2:$E$232)</f>
        <v>231</v>
      </c>
      <c r="C5" s="4"/>
    </row>
    <row r="6" customFormat="false" ht="15" hidden="false" customHeight="false" outlineLevel="0" collapsed="false">
      <c r="A6" s="4" t="s">
        <v>6</v>
      </c>
      <c r="B6" s="6" t="n">
        <f aca="false">SUM(Operaciones!$E$2:$E$232)</f>
        <v>105.58</v>
      </c>
      <c r="C6" s="4" t="s">
        <v>7</v>
      </c>
    </row>
    <row r="7" customFormat="false" ht="15" hidden="false" customHeight="false" outlineLevel="0" collapsed="false">
      <c r="A7" s="4" t="s">
        <v>8</v>
      </c>
      <c r="B7" s="5" t="n">
        <f aca="false">COUNTIF(Operaciones!$E$2:$E$232,"&gt;0")</f>
        <v>80</v>
      </c>
      <c r="C7" s="4"/>
    </row>
    <row r="8" customFormat="false" ht="15" hidden="false" customHeight="false" outlineLevel="0" collapsed="false">
      <c r="A8" s="4" t="s">
        <v>9</v>
      </c>
      <c r="B8" s="7" t="n">
        <f aca="false">B7/B5</f>
        <v>0.346320346320346</v>
      </c>
      <c r="C8" s="4"/>
    </row>
    <row r="9" customFormat="false" ht="15" hidden="false" customHeight="false" outlineLevel="0" collapsed="false">
      <c r="A9" s="4" t="s">
        <v>10</v>
      </c>
      <c r="B9" s="8" t="n">
        <f aca="false">AVERAGEIF(Operaciones!$E$2:$E$232,"&gt;0")</f>
        <v>8.31125</v>
      </c>
      <c r="C9" s="4"/>
    </row>
    <row r="10" customFormat="false" ht="15" hidden="false" customHeight="false" outlineLevel="0" collapsed="false">
      <c r="A10" s="4" t="s">
        <v>11</v>
      </c>
      <c r="B10" s="6" t="n">
        <f aca="false">AVERAGEIF(Operaciones!$E$2:$E$232,"&lt;=0")</f>
        <v>-3.7041059602649</v>
      </c>
      <c r="C10" s="4"/>
    </row>
    <row r="11" customFormat="false" ht="15" hidden="false" customHeight="false" outlineLevel="0" collapsed="false">
      <c r="A11" s="4" t="s">
        <v>12</v>
      </c>
      <c r="B11" s="9" t="n">
        <f aca="false">SUMIF(Operaciones!$E$2:$E$232,"&gt;0")/-SUMIF(Operaciones!$E$2:$E$232,"&lt;0")</f>
        <v>1.18876492884217</v>
      </c>
      <c r="C11" s="4"/>
    </row>
    <row r="12" customFormat="false" ht="15" hidden="false" customHeight="false" outlineLevel="0" collapsed="false">
      <c r="A12" s="4" t="s">
        <v>13</v>
      </c>
      <c r="B12" s="8" t="n">
        <f aca="false">MAX(Operaciones!$E$2:$E$232)</f>
        <v>36.34</v>
      </c>
      <c r="C12" s="4"/>
    </row>
    <row r="13" customFormat="false" ht="15" hidden="false" customHeight="false" outlineLevel="0" collapsed="false">
      <c r="A13" s="4" t="s">
        <v>14</v>
      </c>
      <c r="B13" s="6" t="n">
        <f aca="false">MIN(Operaciones!$E$2:$E$232)</f>
        <v>-22.96</v>
      </c>
      <c r="C13" s="4"/>
    </row>
    <row r="14" customFormat="false" ht="15" hidden="false" customHeight="false" outlineLevel="0" collapsed="false">
      <c r="A14" s="4" t="s">
        <v>15</v>
      </c>
      <c r="B14" s="5" t="n">
        <f aca="false" t="array" ref="B14:B14">MEDIAN(IF(Operaciones!$E$2:$E$232&gt;0,Operaciones!$I$2:$I$232))</f>
        <v>95</v>
      </c>
      <c r="C14" s="4" t="s">
        <v>16</v>
      </c>
    </row>
    <row r="15" customFormat="false" ht="15" hidden="false" customHeight="false" outlineLevel="0" collapsed="false">
      <c r="A15" s="4" t="s">
        <v>17</v>
      </c>
      <c r="B15" s="5" t="n">
        <f aca="false" t="array" ref="B15:B15">MEDIAN(IF(Operaciones!$E$2:$E$232&lt;=0,Operaciones!$I$2:$I$232))</f>
        <v>20</v>
      </c>
      <c r="C15" s="4" t="s">
        <v>16</v>
      </c>
    </row>
    <row r="16" customFormat="false" ht="15" hidden="false" customHeight="false" outlineLevel="0" collapsed="false">
      <c r="A16" s="4" t="s">
        <v>18</v>
      </c>
      <c r="B16" s="5" t="n">
        <f aca="false">COUNTIF(Operaciones!$E$2:$E$232,"&gt;=10")</f>
        <v>27</v>
      </c>
      <c r="C16" s="4"/>
    </row>
    <row r="17" customFormat="false" ht="15" hidden="false" customHeight="false" outlineLevel="0" collapsed="false">
      <c r="A17" s="4" t="s">
        <v>19</v>
      </c>
      <c r="B17" s="10" t="n">
        <f aca="false">SUMIF(Operaciones!$E$2:$E$232,"&gt;=10")</f>
        <v>446.67</v>
      </c>
      <c r="C17" s="4"/>
    </row>
    <row r="18" customFormat="false" ht="15" hidden="false" customHeight="false" outlineLevel="0" collapsed="false">
      <c r="A18" s="4" t="s">
        <v>20</v>
      </c>
      <c r="B18" s="6" t="n">
        <f aca="false">B6-SUM(LARGE(Operaciones!$E$2:$E$232,{1,2,3,4,5}))</f>
        <v>-30.61</v>
      </c>
      <c r="C18" s="4" t="s">
        <v>21</v>
      </c>
    </row>
    <row r="19" customFormat="false" ht="15" hidden="false" customHeight="false" outlineLevel="0" collapsed="false">
      <c r="A19" s="4" t="s">
        <v>22</v>
      </c>
      <c r="B19" s="10" t="n">
        <f aca="false">SUMIF(Operaciones!$B$2:$B$232,"Largo",Operaciones!$E$2:$E$232)</f>
        <v>76.38</v>
      </c>
      <c r="C19" s="4"/>
    </row>
    <row r="20" customFormat="false" ht="15" hidden="false" customHeight="false" outlineLevel="0" collapsed="false">
      <c r="A20" s="4" t="s">
        <v>23</v>
      </c>
      <c r="B20" s="10" t="n">
        <f aca="false">SUMIF(Operaciones!$B$2:$B$232,"Corto",Operaciones!$E$2:$E$232)</f>
        <v>29.2</v>
      </c>
      <c r="C20" s="4"/>
    </row>
    <row r="21" customFormat="false" ht="15" hidden="false" customHeight="false" outlineLevel="0" collapsed="false">
      <c r="A21" s="4" t="s">
        <v>24</v>
      </c>
      <c r="B21" s="5" t="n">
        <v>13</v>
      </c>
      <c r="C21" s="4" t="s">
        <v>25</v>
      </c>
    </row>
    <row r="23" customFormat="false" ht="15" hidden="false" customHeight="false" outlineLevel="0" collapsed="false">
      <c r="A23" s="11" t="s">
        <v>26</v>
      </c>
    </row>
    <row r="24" customFormat="false" ht="15" hidden="false" customHeight="false" outlineLevel="0" collapsed="false">
      <c r="A24" s="12" t="s">
        <v>27</v>
      </c>
    </row>
    <row r="25" customFormat="false" ht="15" hidden="false" customHeight="false" outlineLevel="0" collapsed="false">
      <c r="A25" s="12" t="s">
        <v>28</v>
      </c>
    </row>
    <row r="26" customFormat="false" ht="15" hidden="false" customHeight="false" outlineLevel="0" collapsed="false">
      <c r="A26" s="12" t="s">
        <v>29</v>
      </c>
    </row>
    <row r="27" customFormat="false" ht="15" hidden="false" customHeight="false" outlineLevel="0" collapsed="false">
      <c r="A27" s="12" t="s">
        <v>30</v>
      </c>
    </row>
    <row r="28" customFormat="false" ht="15" hidden="false" customHeight="false" outlineLevel="0" collapsed="false">
      <c r="A28" s="12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8"/>
    <col collapsed="false" customWidth="true" hidden="false" outlineLevel="0" max="5" min="5" style="0" width="15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26.85" hidden="false" customHeight="false" outlineLevel="0" collapsed="false">
      <c r="A1" s="3" t="s">
        <v>32</v>
      </c>
      <c r="B1" s="3" t="s">
        <v>33</v>
      </c>
      <c r="C1" s="3" t="s">
        <v>34</v>
      </c>
      <c r="D1" s="3" t="s">
        <v>35</v>
      </c>
      <c r="E1" s="3" t="s">
        <v>36</v>
      </c>
      <c r="F1" s="3" t="s">
        <v>37</v>
      </c>
      <c r="G1" s="3" t="s">
        <v>38</v>
      </c>
      <c r="H1" s="3" t="s">
        <v>39</v>
      </c>
      <c r="I1" s="3" t="s">
        <v>40</v>
      </c>
    </row>
    <row r="2" customFormat="false" ht="15" hidden="false" customHeight="false" outlineLevel="0" collapsed="false">
      <c r="A2" s="4" t="n">
        <v>1</v>
      </c>
      <c r="B2" s="4" t="s">
        <v>41</v>
      </c>
      <c r="C2" s="13" t="n">
        <v>46271.9236111111</v>
      </c>
      <c r="D2" s="13" t="n">
        <v>46271.9826388889</v>
      </c>
      <c r="E2" s="14" t="n">
        <v>0.21</v>
      </c>
      <c r="F2" s="4" t="n">
        <f aca="false">HOUR(C2)</f>
        <v>22</v>
      </c>
      <c r="G2" s="4" t="n">
        <f aca="false">WEEKDAY(C2,2)</f>
        <v>7</v>
      </c>
      <c r="H2" s="4" t="n">
        <f aca="false">IF(E2&gt;0,1,0)</f>
        <v>1</v>
      </c>
      <c r="I2" s="4" t="n">
        <f aca="false">ROUND((D2-C2)*1440,0)</f>
        <v>85</v>
      </c>
    </row>
    <row r="3" customFormat="false" ht="15" hidden="false" customHeight="false" outlineLevel="0" collapsed="false">
      <c r="A3" s="4" t="n">
        <v>2</v>
      </c>
      <c r="B3" s="4" t="s">
        <v>42</v>
      </c>
      <c r="C3" s="13" t="n">
        <v>46272.0277777778</v>
      </c>
      <c r="D3" s="13" t="n">
        <v>46272.0486111111</v>
      </c>
      <c r="E3" s="14" t="n">
        <v>-1.68</v>
      </c>
      <c r="F3" s="4" t="n">
        <f aca="false">HOUR(C3)</f>
        <v>0</v>
      </c>
      <c r="G3" s="4" t="n">
        <f aca="false">WEEKDAY(C3,2)</f>
        <v>1</v>
      </c>
      <c r="H3" s="4" t="n">
        <f aca="false">IF(E3&gt;0,1,0)</f>
        <v>0</v>
      </c>
      <c r="I3" s="4" t="n">
        <f aca="false">ROUND((D3-C3)*1440,0)</f>
        <v>30</v>
      </c>
    </row>
    <row r="4" customFormat="false" ht="15" hidden="false" customHeight="false" outlineLevel="0" collapsed="false">
      <c r="A4" s="4" t="n">
        <v>3</v>
      </c>
      <c r="B4" s="4" t="s">
        <v>42</v>
      </c>
      <c r="C4" s="13" t="n">
        <v>46272.125</v>
      </c>
      <c r="D4" s="13" t="n">
        <v>46272.1458333333</v>
      </c>
      <c r="E4" s="14" t="n">
        <v>-1.97</v>
      </c>
      <c r="F4" s="4" t="n">
        <f aca="false">HOUR(C4)</f>
        <v>3</v>
      </c>
      <c r="G4" s="4" t="n">
        <f aca="false">WEEKDAY(C4,2)</f>
        <v>1</v>
      </c>
      <c r="H4" s="4" t="n">
        <f aca="false">IF(E4&gt;0,1,0)</f>
        <v>0</v>
      </c>
      <c r="I4" s="4" t="n">
        <f aca="false">ROUND((D4-C4)*1440,0)</f>
        <v>30</v>
      </c>
    </row>
    <row r="5" customFormat="false" ht="15" hidden="false" customHeight="false" outlineLevel="0" collapsed="false">
      <c r="A5" s="4" t="n">
        <v>4</v>
      </c>
      <c r="B5" s="4" t="s">
        <v>41</v>
      </c>
      <c r="C5" s="13" t="n">
        <v>46272.1458333333</v>
      </c>
      <c r="D5" s="13" t="n">
        <v>46272.1597222222</v>
      </c>
      <c r="E5" s="14" t="n">
        <v>-3.16</v>
      </c>
      <c r="F5" s="4" t="n">
        <f aca="false">HOUR(C5)</f>
        <v>3</v>
      </c>
      <c r="G5" s="4" t="n">
        <f aca="false">WEEKDAY(C5,2)</f>
        <v>1</v>
      </c>
      <c r="H5" s="4" t="n">
        <f aca="false">IF(E5&gt;0,1,0)</f>
        <v>0</v>
      </c>
      <c r="I5" s="4" t="n">
        <f aca="false">ROUND((D5-C5)*1440,0)</f>
        <v>20</v>
      </c>
    </row>
    <row r="6" customFormat="false" ht="15" hidden="false" customHeight="false" outlineLevel="0" collapsed="false">
      <c r="A6" s="4" t="n">
        <v>5</v>
      </c>
      <c r="B6" s="4" t="s">
        <v>41</v>
      </c>
      <c r="C6" s="13" t="n">
        <v>46272.1736111111</v>
      </c>
      <c r="D6" s="13" t="n">
        <v>46272.2638888889</v>
      </c>
      <c r="E6" s="14" t="n">
        <v>-1.85</v>
      </c>
      <c r="F6" s="4" t="n">
        <f aca="false">HOUR(C6)</f>
        <v>4</v>
      </c>
      <c r="G6" s="4" t="n">
        <f aca="false">WEEKDAY(C6,2)</f>
        <v>1</v>
      </c>
      <c r="H6" s="4" t="n">
        <f aca="false">IF(E6&gt;0,1,0)</f>
        <v>0</v>
      </c>
      <c r="I6" s="4" t="n">
        <f aca="false">ROUND((D6-C6)*1440,0)</f>
        <v>130</v>
      </c>
    </row>
    <row r="7" customFormat="false" ht="15" hidden="false" customHeight="false" outlineLevel="0" collapsed="false">
      <c r="A7" s="4" t="n">
        <v>6</v>
      </c>
      <c r="B7" s="4" t="s">
        <v>41</v>
      </c>
      <c r="C7" s="13" t="n">
        <v>46272.2847222222</v>
      </c>
      <c r="D7" s="13" t="n">
        <v>46272.3055555556</v>
      </c>
      <c r="E7" s="14" t="n">
        <v>7.87</v>
      </c>
      <c r="F7" s="4" t="n">
        <f aca="false">HOUR(C7)</f>
        <v>6</v>
      </c>
      <c r="G7" s="4" t="n">
        <f aca="false">WEEKDAY(C7,2)</f>
        <v>1</v>
      </c>
      <c r="H7" s="4" t="n">
        <f aca="false">IF(E7&gt;0,1,0)</f>
        <v>1</v>
      </c>
      <c r="I7" s="4" t="n">
        <f aca="false">ROUND((D7-C7)*1440,0)</f>
        <v>30</v>
      </c>
    </row>
    <row r="8" customFormat="false" ht="15" hidden="false" customHeight="false" outlineLevel="0" collapsed="false">
      <c r="A8" s="4" t="n">
        <v>7</v>
      </c>
      <c r="B8" s="4" t="s">
        <v>41</v>
      </c>
      <c r="C8" s="13" t="n">
        <v>46272.3576388889</v>
      </c>
      <c r="D8" s="13" t="n">
        <v>46272.3680555556</v>
      </c>
      <c r="E8" s="14" t="n">
        <v>-3.26</v>
      </c>
      <c r="F8" s="4" t="n">
        <f aca="false">HOUR(C8)</f>
        <v>8</v>
      </c>
      <c r="G8" s="4" t="n">
        <f aca="false">WEEKDAY(C8,2)</f>
        <v>1</v>
      </c>
      <c r="H8" s="4" t="n">
        <f aca="false">IF(E8&gt;0,1,0)</f>
        <v>0</v>
      </c>
      <c r="I8" s="4" t="n">
        <f aca="false">ROUND((D8-C8)*1440,0)</f>
        <v>15</v>
      </c>
    </row>
    <row r="9" customFormat="false" ht="15" hidden="false" customHeight="false" outlineLevel="0" collapsed="false">
      <c r="A9" s="4" t="n">
        <v>8</v>
      </c>
      <c r="B9" s="4" t="s">
        <v>42</v>
      </c>
      <c r="C9" s="13" t="n">
        <v>46272.4270833333</v>
      </c>
      <c r="D9" s="13" t="n">
        <v>46272.4409722222</v>
      </c>
      <c r="E9" s="14" t="n">
        <v>-3.7</v>
      </c>
      <c r="F9" s="4" t="n">
        <f aca="false">HOUR(C9)</f>
        <v>10</v>
      </c>
      <c r="G9" s="4" t="n">
        <f aca="false">WEEKDAY(C9,2)</f>
        <v>1</v>
      </c>
      <c r="H9" s="4" t="n">
        <f aca="false">IF(E9&gt;0,1,0)</f>
        <v>0</v>
      </c>
      <c r="I9" s="4" t="n">
        <f aca="false">ROUND((D9-C9)*1440,0)</f>
        <v>20</v>
      </c>
    </row>
    <row r="10" customFormat="false" ht="15" hidden="false" customHeight="false" outlineLevel="0" collapsed="false">
      <c r="A10" s="4" t="n">
        <v>9</v>
      </c>
      <c r="B10" s="4" t="s">
        <v>41</v>
      </c>
      <c r="C10" s="13" t="n">
        <v>46272.5069444445</v>
      </c>
      <c r="D10" s="13" t="n">
        <v>46272.5208333333</v>
      </c>
      <c r="E10" s="14" t="n">
        <v>-3.24</v>
      </c>
      <c r="F10" s="4" t="n">
        <f aca="false">HOUR(C10)</f>
        <v>12</v>
      </c>
      <c r="G10" s="4" t="n">
        <f aca="false">WEEKDAY(C10,2)</f>
        <v>1</v>
      </c>
      <c r="H10" s="4" t="n">
        <f aca="false">IF(E10&gt;0,1,0)</f>
        <v>0</v>
      </c>
      <c r="I10" s="4" t="n">
        <f aca="false">ROUND((D10-C10)*1440,0)</f>
        <v>20</v>
      </c>
    </row>
    <row r="11" customFormat="false" ht="15" hidden="false" customHeight="false" outlineLevel="0" collapsed="false">
      <c r="A11" s="4" t="n">
        <v>10</v>
      </c>
      <c r="B11" s="4" t="s">
        <v>41</v>
      </c>
      <c r="C11" s="13" t="n">
        <v>46272.7951388889</v>
      </c>
      <c r="D11" s="13" t="n">
        <v>46272.8229166667</v>
      </c>
      <c r="E11" s="14" t="n">
        <v>-2.08</v>
      </c>
      <c r="F11" s="4" t="n">
        <f aca="false">HOUR(C11)</f>
        <v>19</v>
      </c>
      <c r="G11" s="4" t="n">
        <f aca="false">WEEKDAY(C11,2)</f>
        <v>1</v>
      </c>
      <c r="H11" s="4" t="n">
        <f aca="false">IF(E11&gt;0,1,0)</f>
        <v>0</v>
      </c>
      <c r="I11" s="4" t="n">
        <f aca="false">ROUND((D11-C11)*1440,0)</f>
        <v>40</v>
      </c>
    </row>
    <row r="12" customFormat="false" ht="15" hidden="false" customHeight="false" outlineLevel="0" collapsed="false">
      <c r="A12" s="4" t="n">
        <v>11</v>
      </c>
      <c r="B12" s="4" t="s">
        <v>42</v>
      </c>
      <c r="C12" s="13" t="n">
        <v>46272.8368055556</v>
      </c>
      <c r="D12" s="13" t="n">
        <v>46272.8368055556</v>
      </c>
      <c r="E12" s="14" t="n">
        <v>-2.58</v>
      </c>
      <c r="F12" s="4" t="n">
        <f aca="false">HOUR(C12)</f>
        <v>20</v>
      </c>
      <c r="G12" s="4" t="n">
        <f aca="false">WEEKDAY(C12,2)</f>
        <v>1</v>
      </c>
      <c r="H12" s="4" t="n">
        <f aca="false">IF(E12&gt;0,1,0)</f>
        <v>0</v>
      </c>
      <c r="I12" s="4" t="n">
        <f aca="false">ROUND((D12-C12)*1440,0)</f>
        <v>0</v>
      </c>
    </row>
    <row r="13" customFormat="false" ht="15" hidden="false" customHeight="false" outlineLevel="0" collapsed="false">
      <c r="A13" s="4" t="n">
        <v>12</v>
      </c>
      <c r="B13" s="4" t="s">
        <v>41</v>
      </c>
      <c r="C13" s="13" t="n">
        <v>46272.8784722222</v>
      </c>
      <c r="D13" s="13" t="n">
        <v>46272.8888888889</v>
      </c>
      <c r="E13" s="14" t="n">
        <v>-3.5</v>
      </c>
      <c r="F13" s="4" t="n">
        <f aca="false">HOUR(C13)</f>
        <v>21</v>
      </c>
      <c r="G13" s="4" t="n">
        <f aca="false">WEEKDAY(C13,2)</f>
        <v>1</v>
      </c>
      <c r="H13" s="4" t="n">
        <f aca="false">IF(E13&gt;0,1,0)</f>
        <v>0</v>
      </c>
      <c r="I13" s="4" t="n">
        <f aca="false">ROUND((D13-C13)*1440,0)</f>
        <v>15</v>
      </c>
    </row>
    <row r="14" customFormat="false" ht="15" hidden="false" customHeight="false" outlineLevel="0" collapsed="false">
      <c r="A14" s="4" t="n">
        <v>13</v>
      </c>
      <c r="B14" s="4" t="s">
        <v>42</v>
      </c>
      <c r="C14" s="13" t="n">
        <v>46272.96875</v>
      </c>
      <c r="D14" s="13" t="n">
        <v>46273.0243055556</v>
      </c>
      <c r="E14" s="14" t="n">
        <v>0.48</v>
      </c>
      <c r="F14" s="4" t="n">
        <f aca="false">HOUR(C14)</f>
        <v>23</v>
      </c>
      <c r="G14" s="4" t="n">
        <f aca="false">WEEKDAY(C14,2)</f>
        <v>1</v>
      </c>
      <c r="H14" s="4" t="n">
        <f aca="false">IF(E14&gt;0,1,0)</f>
        <v>1</v>
      </c>
      <c r="I14" s="4" t="n">
        <f aca="false">ROUND((D14-C14)*1440,0)</f>
        <v>80</v>
      </c>
    </row>
    <row r="15" customFormat="false" ht="15" hidden="false" customHeight="false" outlineLevel="0" collapsed="false">
      <c r="A15" s="4" t="n">
        <v>14</v>
      </c>
      <c r="B15" s="4" t="s">
        <v>41</v>
      </c>
      <c r="C15" s="13" t="n">
        <v>46273.0243055556</v>
      </c>
      <c r="D15" s="13" t="n">
        <v>46273.0625</v>
      </c>
      <c r="E15" s="14" t="n">
        <v>5.45</v>
      </c>
      <c r="F15" s="4" t="n">
        <f aca="false">HOUR(C15)</f>
        <v>0</v>
      </c>
      <c r="G15" s="4" t="n">
        <f aca="false">WEEKDAY(C15,2)</f>
        <v>2</v>
      </c>
      <c r="H15" s="4" t="n">
        <f aca="false">IF(E15&gt;0,1,0)</f>
        <v>1</v>
      </c>
      <c r="I15" s="4" t="n">
        <f aca="false">ROUND((D15-C15)*1440,0)</f>
        <v>55</v>
      </c>
    </row>
    <row r="16" customFormat="false" ht="15" hidden="false" customHeight="false" outlineLevel="0" collapsed="false">
      <c r="A16" s="4" t="n">
        <v>15</v>
      </c>
      <c r="B16" s="4" t="s">
        <v>42</v>
      </c>
      <c r="C16" s="13" t="n">
        <v>46273.2048611111</v>
      </c>
      <c r="D16" s="13" t="n">
        <v>46273.2638888889</v>
      </c>
      <c r="E16" s="14" t="n">
        <v>15.23</v>
      </c>
      <c r="F16" s="4" t="n">
        <f aca="false">HOUR(C16)</f>
        <v>4</v>
      </c>
      <c r="G16" s="4" t="n">
        <f aca="false">WEEKDAY(C16,2)</f>
        <v>2</v>
      </c>
      <c r="H16" s="4" t="n">
        <f aca="false">IF(E16&gt;0,1,0)</f>
        <v>1</v>
      </c>
      <c r="I16" s="4" t="n">
        <f aca="false">ROUND((D16-C16)*1440,0)</f>
        <v>85</v>
      </c>
    </row>
    <row r="17" customFormat="false" ht="15" hidden="false" customHeight="false" outlineLevel="0" collapsed="false">
      <c r="A17" s="4" t="n">
        <v>16</v>
      </c>
      <c r="B17" s="4" t="s">
        <v>42</v>
      </c>
      <c r="C17" s="13" t="n">
        <v>46273.3159722222</v>
      </c>
      <c r="D17" s="13" t="n">
        <v>46273.34375</v>
      </c>
      <c r="E17" s="14" t="n">
        <v>-3.6</v>
      </c>
      <c r="F17" s="4" t="n">
        <f aca="false">HOUR(C17)</f>
        <v>7</v>
      </c>
      <c r="G17" s="4" t="n">
        <f aca="false">WEEKDAY(C17,2)</f>
        <v>2</v>
      </c>
      <c r="H17" s="4" t="n">
        <f aca="false">IF(E17&gt;0,1,0)</f>
        <v>0</v>
      </c>
      <c r="I17" s="4" t="n">
        <f aca="false">ROUND((D17-C17)*1440,0)</f>
        <v>40</v>
      </c>
    </row>
    <row r="18" customFormat="false" ht="15" hidden="false" customHeight="false" outlineLevel="0" collapsed="false">
      <c r="A18" s="4" t="n">
        <v>17</v>
      </c>
      <c r="B18" s="4" t="s">
        <v>41</v>
      </c>
      <c r="C18" s="13" t="n">
        <v>46273.34375</v>
      </c>
      <c r="D18" s="13" t="n">
        <v>46273.3506944445</v>
      </c>
      <c r="E18" s="14" t="n">
        <v>-3.98</v>
      </c>
      <c r="F18" s="4" t="n">
        <f aca="false">HOUR(C18)</f>
        <v>8</v>
      </c>
      <c r="G18" s="4" t="n">
        <f aca="false">WEEKDAY(C18,2)</f>
        <v>2</v>
      </c>
      <c r="H18" s="4" t="n">
        <f aca="false">IF(E18&gt;0,1,0)</f>
        <v>0</v>
      </c>
      <c r="I18" s="4" t="n">
        <f aca="false">ROUND((D18-C18)*1440,0)</f>
        <v>10</v>
      </c>
    </row>
    <row r="19" customFormat="false" ht="15" hidden="false" customHeight="false" outlineLevel="0" collapsed="false">
      <c r="A19" s="4" t="n">
        <v>18</v>
      </c>
      <c r="B19" s="4" t="s">
        <v>42</v>
      </c>
      <c r="C19" s="13" t="n">
        <v>46273.3611111111</v>
      </c>
      <c r="D19" s="13" t="n">
        <v>46273.3958333333</v>
      </c>
      <c r="E19" s="14" t="n">
        <v>-4.4</v>
      </c>
      <c r="F19" s="4" t="n">
        <f aca="false">HOUR(C19)</f>
        <v>8</v>
      </c>
      <c r="G19" s="4" t="n">
        <f aca="false">WEEKDAY(C19,2)</f>
        <v>2</v>
      </c>
      <c r="H19" s="4" t="n">
        <f aca="false">IF(E19&gt;0,1,0)</f>
        <v>0</v>
      </c>
      <c r="I19" s="4" t="n">
        <f aca="false">ROUND((D19-C19)*1440,0)</f>
        <v>50</v>
      </c>
    </row>
    <row r="20" customFormat="false" ht="15" hidden="false" customHeight="false" outlineLevel="0" collapsed="false">
      <c r="A20" s="4" t="n">
        <v>19</v>
      </c>
      <c r="B20" s="4" t="s">
        <v>41</v>
      </c>
      <c r="C20" s="13" t="n">
        <v>46273.4201388889</v>
      </c>
      <c r="D20" s="13" t="n">
        <v>46273.5416666667</v>
      </c>
      <c r="E20" s="14" t="n">
        <v>-4.64</v>
      </c>
      <c r="F20" s="4" t="n">
        <f aca="false">HOUR(C20)</f>
        <v>10</v>
      </c>
      <c r="G20" s="4" t="n">
        <f aca="false">WEEKDAY(C20,2)</f>
        <v>2</v>
      </c>
      <c r="H20" s="4" t="n">
        <f aca="false">IF(E20&gt;0,1,0)</f>
        <v>0</v>
      </c>
      <c r="I20" s="4" t="n">
        <f aca="false">ROUND((D20-C20)*1440,0)</f>
        <v>175</v>
      </c>
    </row>
    <row r="21" customFormat="false" ht="15" hidden="false" customHeight="false" outlineLevel="0" collapsed="false">
      <c r="A21" s="4" t="n">
        <v>20</v>
      </c>
      <c r="B21" s="4" t="s">
        <v>41</v>
      </c>
      <c r="C21" s="13" t="n">
        <v>46273.59375</v>
      </c>
      <c r="D21" s="13" t="n">
        <v>46273.6145833333</v>
      </c>
      <c r="E21" s="14" t="n">
        <v>13.16</v>
      </c>
      <c r="F21" s="4" t="n">
        <f aca="false">HOUR(C21)</f>
        <v>14</v>
      </c>
      <c r="G21" s="4" t="n">
        <f aca="false">WEEKDAY(C21,2)</f>
        <v>2</v>
      </c>
      <c r="H21" s="4" t="n">
        <f aca="false">IF(E21&gt;0,1,0)</f>
        <v>1</v>
      </c>
      <c r="I21" s="4" t="n">
        <f aca="false">ROUND((D21-C21)*1440,0)</f>
        <v>30</v>
      </c>
    </row>
    <row r="22" customFormat="false" ht="15" hidden="false" customHeight="false" outlineLevel="0" collapsed="false">
      <c r="A22" s="4" t="n">
        <v>21</v>
      </c>
      <c r="B22" s="4" t="s">
        <v>42</v>
      </c>
      <c r="C22" s="13" t="n">
        <v>46273.6944444445</v>
      </c>
      <c r="D22" s="13" t="n">
        <v>46273.8263888889</v>
      </c>
      <c r="E22" s="14" t="n">
        <v>-0.15</v>
      </c>
      <c r="F22" s="4" t="n">
        <f aca="false">HOUR(C22)</f>
        <v>16</v>
      </c>
      <c r="G22" s="4" t="n">
        <f aca="false">WEEKDAY(C22,2)</f>
        <v>2</v>
      </c>
      <c r="H22" s="4" t="n">
        <f aca="false">IF(E22&gt;0,1,0)</f>
        <v>0</v>
      </c>
      <c r="I22" s="4" t="n">
        <f aca="false">ROUND((D22-C22)*1440,0)</f>
        <v>190</v>
      </c>
    </row>
    <row r="23" customFormat="false" ht="15" hidden="false" customHeight="false" outlineLevel="0" collapsed="false">
      <c r="A23" s="4" t="n">
        <v>22</v>
      </c>
      <c r="B23" s="4" t="s">
        <v>42</v>
      </c>
      <c r="C23" s="13" t="n">
        <v>46273.9166666667</v>
      </c>
      <c r="D23" s="13" t="n">
        <v>46273.9722222222</v>
      </c>
      <c r="E23" s="14" t="n">
        <v>-0.3</v>
      </c>
      <c r="F23" s="4" t="n">
        <f aca="false">HOUR(C23)</f>
        <v>22</v>
      </c>
      <c r="G23" s="4" t="n">
        <f aca="false">WEEKDAY(C23,2)</f>
        <v>2</v>
      </c>
      <c r="H23" s="4" t="n">
        <f aca="false">IF(E23&gt;0,1,0)</f>
        <v>0</v>
      </c>
      <c r="I23" s="4" t="n">
        <f aca="false">ROUND((D23-C23)*1440,0)</f>
        <v>80</v>
      </c>
    </row>
    <row r="24" customFormat="false" ht="15" hidden="false" customHeight="false" outlineLevel="0" collapsed="false">
      <c r="A24" s="4" t="n">
        <v>23</v>
      </c>
      <c r="B24" s="4" t="s">
        <v>41</v>
      </c>
      <c r="C24" s="13" t="n">
        <v>46273.9722222222</v>
      </c>
      <c r="D24" s="13" t="n">
        <v>46273.9826388889</v>
      </c>
      <c r="E24" s="14" t="n">
        <v>-1.52</v>
      </c>
      <c r="F24" s="4" t="n">
        <f aca="false">HOUR(C24)</f>
        <v>23</v>
      </c>
      <c r="G24" s="4" t="n">
        <f aca="false">WEEKDAY(C24,2)</f>
        <v>2</v>
      </c>
      <c r="H24" s="4" t="n">
        <f aca="false">IF(E24&gt;0,1,0)</f>
        <v>0</v>
      </c>
      <c r="I24" s="4" t="n">
        <f aca="false">ROUND((D24-C24)*1440,0)</f>
        <v>15</v>
      </c>
    </row>
    <row r="25" customFormat="false" ht="15" hidden="false" customHeight="false" outlineLevel="0" collapsed="false">
      <c r="A25" s="4" t="n">
        <v>24</v>
      </c>
      <c r="B25" s="4" t="s">
        <v>41</v>
      </c>
      <c r="C25" s="13" t="n">
        <v>46274.1041666667</v>
      </c>
      <c r="D25" s="13" t="n">
        <v>46274.125</v>
      </c>
      <c r="E25" s="14" t="n">
        <v>-2.02</v>
      </c>
      <c r="F25" s="4" t="n">
        <f aca="false">HOUR(C25)</f>
        <v>2</v>
      </c>
      <c r="G25" s="4" t="n">
        <f aca="false">WEEKDAY(C25,2)</f>
        <v>3</v>
      </c>
      <c r="H25" s="4" t="n">
        <f aca="false">IF(E25&gt;0,1,0)</f>
        <v>0</v>
      </c>
      <c r="I25" s="4" t="n">
        <f aca="false">ROUND((D25-C25)*1440,0)</f>
        <v>30</v>
      </c>
    </row>
    <row r="26" customFormat="false" ht="15" hidden="false" customHeight="false" outlineLevel="0" collapsed="false">
      <c r="A26" s="4" t="n">
        <v>25</v>
      </c>
      <c r="B26" s="4" t="s">
        <v>41</v>
      </c>
      <c r="C26" s="13" t="n">
        <v>46274.1597222222</v>
      </c>
      <c r="D26" s="13" t="n">
        <v>46274.2430555556</v>
      </c>
      <c r="E26" s="14" t="n">
        <v>13.78</v>
      </c>
      <c r="F26" s="4" t="n">
        <f aca="false">HOUR(C26)</f>
        <v>3</v>
      </c>
      <c r="G26" s="4" t="n">
        <f aca="false">WEEKDAY(C26,2)</f>
        <v>3</v>
      </c>
      <c r="H26" s="4" t="n">
        <f aca="false">IF(E26&gt;0,1,0)</f>
        <v>1</v>
      </c>
      <c r="I26" s="4" t="n">
        <f aca="false">ROUND((D26-C26)*1440,0)</f>
        <v>120</v>
      </c>
    </row>
    <row r="27" customFormat="false" ht="15" hidden="false" customHeight="false" outlineLevel="0" collapsed="false">
      <c r="A27" s="4" t="n">
        <v>26</v>
      </c>
      <c r="B27" s="4" t="s">
        <v>41</v>
      </c>
      <c r="C27" s="13" t="n">
        <v>46274.2916666667</v>
      </c>
      <c r="D27" s="13" t="n">
        <v>46274.2986111111</v>
      </c>
      <c r="E27" s="14" t="n">
        <v>-4.23</v>
      </c>
      <c r="F27" s="4" t="n">
        <f aca="false">HOUR(C27)</f>
        <v>7</v>
      </c>
      <c r="G27" s="4" t="n">
        <f aca="false">WEEKDAY(C27,2)</f>
        <v>3</v>
      </c>
      <c r="H27" s="4" t="n">
        <f aca="false">IF(E27&gt;0,1,0)</f>
        <v>0</v>
      </c>
      <c r="I27" s="4" t="n">
        <f aca="false">ROUND((D27-C27)*1440,0)</f>
        <v>10</v>
      </c>
    </row>
    <row r="28" customFormat="false" ht="15" hidden="false" customHeight="false" outlineLevel="0" collapsed="false">
      <c r="A28" s="4" t="n">
        <v>27</v>
      </c>
      <c r="B28" s="4" t="s">
        <v>42</v>
      </c>
      <c r="C28" s="13" t="n">
        <v>46274.3680555556</v>
      </c>
      <c r="D28" s="13" t="n">
        <v>46274.3993055556</v>
      </c>
      <c r="E28" s="14" t="n">
        <v>-4.99</v>
      </c>
      <c r="F28" s="4" t="n">
        <f aca="false">HOUR(C28)</f>
        <v>8</v>
      </c>
      <c r="G28" s="4" t="n">
        <f aca="false">WEEKDAY(C28,2)</f>
        <v>3</v>
      </c>
      <c r="H28" s="4" t="n">
        <f aca="false">IF(E28&gt;0,1,0)</f>
        <v>0</v>
      </c>
      <c r="I28" s="4" t="n">
        <f aca="false">ROUND((D28-C28)*1440,0)</f>
        <v>45</v>
      </c>
    </row>
    <row r="29" customFormat="false" ht="15" hidden="false" customHeight="false" outlineLevel="0" collapsed="false">
      <c r="A29" s="4" t="n">
        <v>28</v>
      </c>
      <c r="B29" s="4" t="s">
        <v>41</v>
      </c>
      <c r="C29" s="13" t="n">
        <v>46274.4756944445</v>
      </c>
      <c r="D29" s="13" t="n">
        <v>46274.4826388889</v>
      </c>
      <c r="E29" s="14" t="n">
        <v>-7.97</v>
      </c>
      <c r="F29" s="4" t="n">
        <f aca="false">HOUR(C29)</f>
        <v>11</v>
      </c>
      <c r="G29" s="4" t="n">
        <f aca="false">WEEKDAY(C29,2)</f>
        <v>3</v>
      </c>
      <c r="H29" s="4" t="n">
        <f aca="false">IF(E29&gt;0,1,0)</f>
        <v>0</v>
      </c>
      <c r="I29" s="4" t="n">
        <f aca="false">ROUND((D29-C29)*1440,0)</f>
        <v>10</v>
      </c>
    </row>
    <row r="30" customFormat="false" ht="15" hidden="false" customHeight="false" outlineLevel="0" collapsed="false">
      <c r="A30" s="4" t="n">
        <v>29</v>
      </c>
      <c r="B30" s="4" t="s">
        <v>41</v>
      </c>
      <c r="C30" s="13" t="n">
        <v>46274.5069444445</v>
      </c>
      <c r="D30" s="13" t="n">
        <v>46274.5208333333</v>
      </c>
      <c r="E30" s="14" t="n">
        <v>-7.79</v>
      </c>
      <c r="F30" s="4" t="n">
        <f aca="false">HOUR(C30)</f>
        <v>12</v>
      </c>
      <c r="G30" s="4" t="n">
        <f aca="false">WEEKDAY(C30,2)</f>
        <v>3</v>
      </c>
      <c r="H30" s="4" t="n">
        <f aca="false">IF(E30&gt;0,1,0)</f>
        <v>0</v>
      </c>
      <c r="I30" s="4" t="n">
        <f aca="false">ROUND((D30-C30)*1440,0)</f>
        <v>20</v>
      </c>
    </row>
    <row r="31" customFormat="false" ht="15" hidden="false" customHeight="false" outlineLevel="0" collapsed="false">
      <c r="A31" s="4" t="n">
        <v>30</v>
      </c>
      <c r="B31" s="4" t="s">
        <v>41</v>
      </c>
      <c r="C31" s="13" t="n">
        <v>46274.5868055556</v>
      </c>
      <c r="D31" s="13" t="n">
        <v>46274.6319444445</v>
      </c>
      <c r="E31" s="14" t="n">
        <v>1.13</v>
      </c>
      <c r="F31" s="4" t="n">
        <f aca="false">HOUR(C31)</f>
        <v>14</v>
      </c>
      <c r="G31" s="4" t="n">
        <f aca="false">WEEKDAY(C31,2)</f>
        <v>3</v>
      </c>
      <c r="H31" s="4" t="n">
        <f aca="false">IF(E31&gt;0,1,0)</f>
        <v>1</v>
      </c>
      <c r="I31" s="4" t="n">
        <f aca="false">ROUND((D31-C31)*1440,0)</f>
        <v>65</v>
      </c>
    </row>
    <row r="32" customFormat="false" ht="15" hidden="false" customHeight="false" outlineLevel="0" collapsed="false">
      <c r="A32" s="4" t="n">
        <v>31</v>
      </c>
      <c r="B32" s="4" t="s">
        <v>42</v>
      </c>
      <c r="C32" s="13" t="n">
        <v>46274.6319444445</v>
      </c>
      <c r="D32" s="13" t="n">
        <v>46274.6597222222</v>
      </c>
      <c r="E32" s="14" t="n">
        <v>-4.35</v>
      </c>
      <c r="F32" s="4" t="n">
        <f aca="false">HOUR(C32)</f>
        <v>15</v>
      </c>
      <c r="G32" s="4" t="n">
        <f aca="false">WEEKDAY(C32,2)</f>
        <v>3</v>
      </c>
      <c r="H32" s="4" t="n">
        <f aca="false">IF(E32&gt;0,1,0)</f>
        <v>0</v>
      </c>
      <c r="I32" s="4" t="n">
        <f aca="false">ROUND((D32-C32)*1440,0)</f>
        <v>40</v>
      </c>
    </row>
    <row r="33" customFormat="false" ht="15" hidden="false" customHeight="false" outlineLevel="0" collapsed="false">
      <c r="A33" s="4" t="n">
        <v>32</v>
      </c>
      <c r="B33" s="4" t="s">
        <v>41</v>
      </c>
      <c r="C33" s="13" t="n">
        <v>46274.6666666667</v>
      </c>
      <c r="D33" s="13" t="n">
        <v>46274.75</v>
      </c>
      <c r="E33" s="14" t="n">
        <v>-4.19</v>
      </c>
      <c r="F33" s="4" t="n">
        <f aca="false">HOUR(C33)</f>
        <v>16</v>
      </c>
      <c r="G33" s="4" t="n">
        <f aca="false">WEEKDAY(C33,2)</f>
        <v>3</v>
      </c>
      <c r="H33" s="4" t="n">
        <f aca="false">IF(E33&gt;0,1,0)</f>
        <v>0</v>
      </c>
      <c r="I33" s="4" t="n">
        <f aca="false">ROUND((D33-C33)*1440,0)</f>
        <v>120</v>
      </c>
    </row>
    <row r="34" customFormat="false" ht="15" hidden="false" customHeight="false" outlineLevel="0" collapsed="false">
      <c r="A34" s="4" t="n">
        <v>33</v>
      </c>
      <c r="B34" s="4" t="s">
        <v>42</v>
      </c>
      <c r="C34" s="13" t="n">
        <v>46274.7569444445</v>
      </c>
      <c r="D34" s="13" t="n">
        <v>46274.84375</v>
      </c>
      <c r="E34" s="14" t="n">
        <v>4.45</v>
      </c>
      <c r="F34" s="4" t="n">
        <f aca="false">HOUR(C34)</f>
        <v>18</v>
      </c>
      <c r="G34" s="4" t="n">
        <f aca="false">WEEKDAY(C34,2)</f>
        <v>3</v>
      </c>
      <c r="H34" s="4" t="n">
        <f aca="false">IF(E34&gt;0,1,0)</f>
        <v>1</v>
      </c>
      <c r="I34" s="4" t="n">
        <f aca="false">ROUND((D34-C34)*1440,0)</f>
        <v>125</v>
      </c>
    </row>
    <row r="35" customFormat="false" ht="15" hidden="false" customHeight="false" outlineLevel="0" collapsed="false">
      <c r="A35" s="4" t="n">
        <v>34</v>
      </c>
      <c r="B35" s="4" t="s">
        <v>41</v>
      </c>
      <c r="C35" s="13" t="n">
        <v>46274.8958333333</v>
      </c>
      <c r="D35" s="13" t="n">
        <v>46274.90625</v>
      </c>
      <c r="E35" s="14" t="n">
        <v>-1.9</v>
      </c>
      <c r="F35" s="4" t="n">
        <f aca="false">HOUR(C35)</f>
        <v>21</v>
      </c>
      <c r="G35" s="4" t="n">
        <f aca="false">WEEKDAY(C35,2)</f>
        <v>3</v>
      </c>
      <c r="H35" s="4" t="n">
        <f aca="false">IF(E35&gt;0,1,0)</f>
        <v>0</v>
      </c>
      <c r="I35" s="4" t="n">
        <f aca="false">ROUND((D35-C35)*1440,0)</f>
        <v>15</v>
      </c>
    </row>
    <row r="36" customFormat="false" ht="15" hidden="false" customHeight="false" outlineLevel="0" collapsed="false">
      <c r="A36" s="4" t="n">
        <v>35</v>
      </c>
      <c r="B36" s="4" t="s">
        <v>41</v>
      </c>
      <c r="C36" s="13" t="n">
        <v>46274.9861111111</v>
      </c>
      <c r="D36" s="13" t="n">
        <v>46274.9930555556</v>
      </c>
      <c r="E36" s="14" t="n">
        <v>-0.82</v>
      </c>
      <c r="F36" s="4" t="n">
        <f aca="false">HOUR(C36)</f>
        <v>23</v>
      </c>
      <c r="G36" s="4" t="n">
        <f aca="false">WEEKDAY(C36,2)</f>
        <v>3</v>
      </c>
      <c r="H36" s="4" t="n">
        <f aca="false">IF(E36&gt;0,1,0)</f>
        <v>0</v>
      </c>
      <c r="I36" s="4" t="n">
        <f aca="false">ROUND((D36-C36)*1440,0)</f>
        <v>10</v>
      </c>
    </row>
    <row r="37" customFormat="false" ht="15" hidden="false" customHeight="false" outlineLevel="0" collapsed="false">
      <c r="A37" s="4" t="n">
        <v>36</v>
      </c>
      <c r="B37" s="4" t="s">
        <v>42</v>
      </c>
      <c r="C37" s="13" t="n">
        <v>46274.9930555556</v>
      </c>
      <c r="D37" s="13" t="n">
        <v>46275.0972222222</v>
      </c>
      <c r="E37" s="14" t="n">
        <v>4.08</v>
      </c>
      <c r="F37" s="4" t="n">
        <f aca="false">HOUR(C37)</f>
        <v>23</v>
      </c>
      <c r="G37" s="4" t="n">
        <f aca="false">WEEKDAY(C37,2)</f>
        <v>3</v>
      </c>
      <c r="H37" s="4" t="n">
        <f aca="false">IF(E37&gt;0,1,0)</f>
        <v>1</v>
      </c>
      <c r="I37" s="4" t="n">
        <f aca="false">ROUND((D37-C37)*1440,0)</f>
        <v>150</v>
      </c>
    </row>
    <row r="38" customFormat="false" ht="15" hidden="false" customHeight="false" outlineLevel="0" collapsed="false">
      <c r="A38" s="4" t="n">
        <v>37</v>
      </c>
      <c r="B38" s="4" t="s">
        <v>41</v>
      </c>
      <c r="C38" s="13" t="n">
        <v>46275.1770833333</v>
      </c>
      <c r="D38" s="13" t="n">
        <v>46275.2256944445</v>
      </c>
      <c r="E38" s="14" t="n">
        <v>8.97</v>
      </c>
      <c r="F38" s="4" t="n">
        <f aca="false">HOUR(C38)</f>
        <v>4</v>
      </c>
      <c r="G38" s="4" t="n">
        <f aca="false">WEEKDAY(C38,2)</f>
        <v>4</v>
      </c>
      <c r="H38" s="4" t="n">
        <f aca="false">IF(E38&gt;0,1,0)</f>
        <v>1</v>
      </c>
      <c r="I38" s="4" t="n">
        <f aca="false">ROUND((D38-C38)*1440,0)</f>
        <v>70</v>
      </c>
    </row>
    <row r="39" customFormat="false" ht="15" hidden="false" customHeight="false" outlineLevel="0" collapsed="false">
      <c r="A39" s="4" t="n">
        <v>38</v>
      </c>
      <c r="B39" s="4" t="s">
        <v>42</v>
      </c>
      <c r="C39" s="13" t="n">
        <v>46275.2777777778</v>
      </c>
      <c r="D39" s="13" t="n">
        <v>46275.2847222222</v>
      </c>
      <c r="E39" s="14" t="n">
        <v>-3.29</v>
      </c>
      <c r="F39" s="4" t="n">
        <f aca="false">HOUR(C39)</f>
        <v>6</v>
      </c>
      <c r="G39" s="4" t="n">
        <f aca="false">WEEKDAY(C39,2)</f>
        <v>4</v>
      </c>
      <c r="H39" s="4" t="n">
        <f aca="false">IF(E39&gt;0,1,0)</f>
        <v>0</v>
      </c>
      <c r="I39" s="4" t="n">
        <f aca="false">ROUND((D39-C39)*1440,0)</f>
        <v>10</v>
      </c>
    </row>
    <row r="40" customFormat="false" ht="15" hidden="false" customHeight="false" outlineLevel="0" collapsed="false">
      <c r="A40" s="4" t="n">
        <v>39</v>
      </c>
      <c r="B40" s="4" t="s">
        <v>41</v>
      </c>
      <c r="C40" s="13" t="n">
        <v>46275.3298611111</v>
      </c>
      <c r="D40" s="13" t="n">
        <v>46275.3541666667</v>
      </c>
      <c r="E40" s="14" t="n">
        <v>10.88</v>
      </c>
      <c r="F40" s="4" t="n">
        <f aca="false">HOUR(C40)</f>
        <v>7</v>
      </c>
      <c r="G40" s="4" t="n">
        <f aca="false">WEEKDAY(C40,2)</f>
        <v>4</v>
      </c>
      <c r="H40" s="4" t="n">
        <f aca="false">IF(E40&gt;0,1,0)</f>
        <v>1</v>
      </c>
      <c r="I40" s="4" t="n">
        <f aca="false">ROUND((D40-C40)*1440,0)</f>
        <v>35</v>
      </c>
    </row>
    <row r="41" customFormat="false" ht="15" hidden="false" customHeight="false" outlineLevel="0" collapsed="false">
      <c r="A41" s="4" t="n">
        <v>40</v>
      </c>
      <c r="B41" s="4" t="s">
        <v>42</v>
      </c>
      <c r="C41" s="13" t="n">
        <v>46275.4097222222</v>
      </c>
      <c r="D41" s="13" t="n">
        <v>46275.4097222222</v>
      </c>
      <c r="E41" s="14" t="n">
        <v>-8.79</v>
      </c>
      <c r="F41" s="4" t="n">
        <f aca="false">HOUR(C41)</f>
        <v>9</v>
      </c>
      <c r="G41" s="4" t="n">
        <f aca="false">WEEKDAY(C41,2)</f>
        <v>4</v>
      </c>
      <c r="H41" s="4" t="n">
        <f aca="false">IF(E41&gt;0,1,0)</f>
        <v>0</v>
      </c>
      <c r="I41" s="4" t="n">
        <f aca="false">ROUND((D41-C41)*1440,0)</f>
        <v>0</v>
      </c>
    </row>
    <row r="42" customFormat="false" ht="15" hidden="false" customHeight="false" outlineLevel="0" collapsed="false">
      <c r="A42" s="4" t="n">
        <v>41</v>
      </c>
      <c r="B42" s="4" t="s">
        <v>41</v>
      </c>
      <c r="C42" s="13" t="n">
        <v>46275.4791666667</v>
      </c>
      <c r="D42" s="13" t="n">
        <v>46275.5416666667</v>
      </c>
      <c r="E42" s="14" t="n">
        <v>-1.75</v>
      </c>
      <c r="F42" s="4" t="n">
        <f aca="false">HOUR(C42)</f>
        <v>11</v>
      </c>
      <c r="G42" s="4" t="n">
        <f aca="false">WEEKDAY(C42,2)</f>
        <v>4</v>
      </c>
      <c r="H42" s="4" t="n">
        <f aca="false">IF(E42&gt;0,1,0)</f>
        <v>0</v>
      </c>
      <c r="I42" s="4" t="n">
        <f aca="false">ROUND((D42-C42)*1440,0)</f>
        <v>90</v>
      </c>
    </row>
    <row r="43" customFormat="false" ht="15" hidden="false" customHeight="false" outlineLevel="0" collapsed="false">
      <c r="A43" s="4" t="n">
        <v>42</v>
      </c>
      <c r="B43" s="4" t="s">
        <v>41</v>
      </c>
      <c r="C43" s="13" t="n">
        <v>46275.6284722222</v>
      </c>
      <c r="D43" s="13" t="n">
        <v>46275.6284722222</v>
      </c>
      <c r="E43" s="14" t="n">
        <v>-5.03</v>
      </c>
      <c r="F43" s="4" t="n">
        <f aca="false">HOUR(C43)</f>
        <v>15</v>
      </c>
      <c r="G43" s="4" t="n">
        <f aca="false">WEEKDAY(C43,2)</f>
        <v>4</v>
      </c>
      <c r="H43" s="4" t="n">
        <f aca="false">IF(E43&gt;0,1,0)</f>
        <v>0</v>
      </c>
      <c r="I43" s="4" t="n">
        <f aca="false">ROUND((D43-C43)*1440,0)</f>
        <v>0</v>
      </c>
    </row>
    <row r="44" customFormat="false" ht="15" hidden="false" customHeight="false" outlineLevel="0" collapsed="false">
      <c r="A44" s="4" t="n">
        <v>43</v>
      </c>
      <c r="B44" s="4" t="s">
        <v>42</v>
      </c>
      <c r="C44" s="13" t="n">
        <v>46275.6493055556</v>
      </c>
      <c r="D44" s="13" t="n">
        <v>46275.8090277778</v>
      </c>
      <c r="E44" s="14" t="n">
        <v>5.55</v>
      </c>
      <c r="F44" s="4" t="n">
        <f aca="false">HOUR(C44)</f>
        <v>15</v>
      </c>
      <c r="G44" s="4" t="n">
        <f aca="false">WEEKDAY(C44,2)</f>
        <v>4</v>
      </c>
      <c r="H44" s="4" t="n">
        <f aca="false">IF(E44&gt;0,1,0)</f>
        <v>1</v>
      </c>
      <c r="I44" s="4" t="n">
        <f aca="false">ROUND((D44-C44)*1440,0)</f>
        <v>230</v>
      </c>
    </row>
    <row r="45" customFormat="false" ht="15" hidden="false" customHeight="false" outlineLevel="0" collapsed="false">
      <c r="A45" s="4" t="n">
        <v>44</v>
      </c>
      <c r="B45" s="4" t="s">
        <v>41</v>
      </c>
      <c r="C45" s="13" t="n">
        <v>46275.8090277778</v>
      </c>
      <c r="D45" s="13" t="n">
        <v>46275.8263888889</v>
      </c>
      <c r="E45" s="14" t="n">
        <v>-2.13</v>
      </c>
      <c r="F45" s="4" t="n">
        <f aca="false">HOUR(C45)</f>
        <v>19</v>
      </c>
      <c r="G45" s="4" t="n">
        <f aca="false">WEEKDAY(C45,2)</f>
        <v>4</v>
      </c>
      <c r="H45" s="4" t="n">
        <f aca="false">IF(E45&gt;0,1,0)</f>
        <v>0</v>
      </c>
      <c r="I45" s="4" t="n">
        <f aca="false">ROUND((D45-C45)*1440,0)</f>
        <v>25</v>
      </c>
    </row>
    <row r="46" customFormat="false" ht="15" hidden="false" customHeight="false" outlineLevel="0" collapsed="false">
      <c r="A46" s="4" t="n">
        <v>45</v>
      </c>
      <c r="B46" s="4" t="s">
        <v>42</v>
      </c>
      <c r="C46" s="13" t="n">
        <v>46275.8368055556</v>
      </c>
      <c r="D46" s="13" t="n">
        <v>46275.8715277778</v>
      </c>
      <c r="E46" s="14" t="n">
        <v>7.68</v>
      </c>
      <c r="F46" s="4" t="n">
        <f aca="false">HOUR(C46)</f>
        <v>20</v>
      </c>
      <c r="G46" s="4" t="n">
        <f aca="false">WEEKDAY(C46,2)</f>
        <v>4</v>
      </c>
      <c r="H46" s="4" t="n">
        <f aca="false">IF(E46&gt;0,1,0)</f>
        <v>1</v>
      </c>
      <c r="I46" s="4" t="n">
        <f aca="false">ROUND((D46-C46)*1440,0)</f>
        <v>50</v>
      </c>
    </row>
    <row r="47" customFormat="false" ht="15" hidden="false" customHeight="false" outlineLevel="0" collapsed="false">
      <c r="A47" s="4" t="n">
        <v>46</v>
      </c>
      <c r="B47" s="4" t="s">
        <v>41</v>
      </c>
      <c r="C47" s="13" t="n">
        <v>46275.9479166667</v>
      </c>
      <c r="D47" s="13" t="n">
        <v>46275.9513888889</v>
      </c>
      <c r="E47" s="14" t="n">
        <v>-2.41</v>
      </c>
      <c r="F47" s="4" t="n">
        <f aca="false">HOUR(C47)</f>
        <v>22</v>
      </c>
      <c r="G47" s="4" t="n">
        <f aca="false">WEEKDAY(C47,2)</f>
        <v>4</v>
      </c>
      <c r="H47" s="4" t="n">
        <f aca="false">IF(E47&gt;0,1,0)</f>
        <v>0</v>
      </c>
      <c r="I47" s="4" t="n">
        <f aca="false">ROUND((D47-C47)*1440,0)</f>
        <v>5</v>
      </c>
    </row>
    <row r="48" customFormat="false" ht="15" hidden="false" customHeight="false" outlineLevel="0" collapsed="false">
      <c r="A48" s="4" t="n">
        <v>47</v>
      </c>
      <c r="B48" s="4" t="s">
        <v>42</v>
      </c>
      <c r="C48" s="13" t="n">
        <v>46276.0034722222</v>
      </c>
      <c r="D48" s="13" t="n">
        <v>46276.0694444445</v>
      </c>
      <c r="E48" s="14" t="n">
        <v>8.01</v>
      </c>
      <c r="F48" s="4" t="n">
        <f aca="false">HOUR(C48)</f>
        <v>0</v>
      </c>
      <c r="G48" s="4" t="n">
        <f aca="false">WEEKDAY(C48,2)</f>
        <v>5</v>
      </c>
      <c r="H48" s="4" t="n">
        <f aca="false">IF(E48&gt;0,1,0)</f>
        <v>1</v>
      </c>
      <c r="I48" s="4" t="n">
        <f aca="false">ROUND((D48-C48)*1440,0)</f>
        <v>95</v>
      </c>
    </row>
    <row r="49" customFormat="false" ht="15" hidden="false" customHeight="false" outlineLevel="0" collapsed="false">
      <c r="A49" s="4" t="n">
        <v>48</v>
      </c>
      <c r="B49" s="4" t="s">
        <v>41</v>
      </c>
      <c r="C49" s="13" t="n">
        <v>46276.1354166667</v>
      </c>
      <c r="D49" s="13" t="n">
        <v>46276.1805555556</v>
      </c>
      <c r="E49" s="14" t="n">
        <v>-3.2</v>
      </c>
      <c r="F49" s="4" t="n">
        <f aca="false">HOUR(C49)</f>
        <v>3</v>
      </c>
      <c r="G49" s="4" t="n">
        <f aca="false">WEEKDAY(C49,2)</f>
        <v>5</v>
      </c>
      <c r="H49" s="4" t="n">
        <f aca="false">IF(E49&gt;0,1,0)</f>
        <v>0</v>
      </c>
      <c r="I49" s="4" t="n">
        <f aca="false">ROUND((D49-C49)*1440,0)</f>
        <v>65</v>
      </c>
    </row>
    <row r="50" customFormat="false" ht="15" hidden="false" customHeight="false" outlineLevel="0" collapsed="false">
      <c r="A50" s="4" t="n">
        <v>49</v>
      </c>
      <c r="B50" s="4" t="s">
        <v>41</v>
      </c>
      <c r="C50" s="13" t="n">
        <v>46276.2395833333</v>
      </c>
      <c r="D50" s="13" t="n">
        <v>46276.25</v>
      </c>
      <c r="E50" s="14" t="n">
        <v>-3.26</v>
      </c>
      <c r="F50" s="4" t="n">
        <f aca="false">HOUR(C50)</f>
        <v>5</v>
      </c>
      <c r="G50" s="4" t="n">
        <f aca="false">WEEKDAY(C50,2)</f>
        <v>5</v>
      </c>
      <c r="H50" s="4" t="n">
        <f aca="false">IF(E50&gt;0,1,0)</f>
        <v>0</v>
      </c>
      <c r="I50" s="4" t="n">
        <f aca="false">ROUND((D50-C50)*1440,0)</f>
        <v>15</v>
      </c>
    </row>
    <row r="51" customFormat="false" ht="15" hidden="false" customHeight="false" outlineLevel="0" collapsed="false">
      <c r="A51" s="4" t="n">
        <v>50</v>
      </c>
      <c r="B51" s="4" t="s">
        <v>42</v>
      </c>
      <c r="C51" s="13" t="n">
        <v>46276.3506944445</v>
      </c>
      <c r="D51" s="13" t="n">
        <v>46276.3541666667</v>
      </c>
      <c r="E51" s="14" t="n">
        <v>-3.31</v>
      </c>
      <c r="F51" s="4" t="n">
        <f aca="false">HOUR(C51)</f>
        <v>8</v>
      </c>
      <c r="G51" s="4" t="n">
        <f aca="false">WEEKDAY(C51,2)</f>
        <v>5</v>
      </c>
      <c r="H51" s="4" t="n">
        <f aca="false">IF(E51&gt;0,1,0)</f>
        <v>0</v>
      </c>
      <c r="I51" s="4" t="n">
        <f aca="false">ROUND((D51-C51)*1440,0)</f>
        <v>5</v>
      </c>
    </row>
    <row r="52" customFormat="false" ht="15" hidden="false" customHeight="false" outlineLevel="0" collapsed="false">
      <c r="A52" s="4" t="n">
        <v>51</v>
      </c>
      <c r="B52" s="4" t="s">
        <v>42</v>
      </c>
      <c r="C52" s="13" t="n">
        <v>46276.3576388889</v>
      </c>
      <c r="D52" s="13" t="n">
        <v>46276.3715277778</v>
      </c>
      <c r="E52" s="14" t="n">
        <v>17.09</v>
      </c>
      <c r="F52" s="4" t="n">
        <f aca="false">HOUR(C52)</f>
        <v>8</v>
      </c>
      <c r="G52" s="4" t="n">
        <f aca="false">WEEKDAY(C52,2)</f>
        <v>5</v>
      </c>
      <c r="H52" s="4" t="n">
        <f aca="false">IF(E52&gt;0,1,0)</f>
        <v>1</v>
      </c>
      <c r="I52" s="4" t="n">
        <f aca="false">ROUND((D52-C52)*1440,0)</f>
        <v>20</v>
      </c>
    </row>
    <row r="53" customFormat="false" ht="15" hidden="false" customHeight="false" outlineLevel="0" collapsed="false">
      <c r="A53" s="4" t="n">
        <v>52</v>
      </c>
      <c r="B53" s="4" t="s">
        <v>41</v>
      </c>
      <c r="C53" s="13" t="n">
        <v>46276.4236111111</v>
      </c>
      <c r="D53" s="13" t="n">
        <v>46276.5208333333</v>
      </c>
      <c r="E53" s="14" t="n">
        <v>1.69</v>
      </c>
      <c r="F53" s="4" t="n">
        <f aca="false">HOUR(C53)</f>
        <v>10</v>
      </c>
      <c r="G53" s="4" t="n">
        <f aca="false">WEEKDAY(C53,2)</f>
        <v>5</v>
      </c>
      <c r="H53" s="4" t="n">
        <f aca="false">IF(E53&gt;0,1,0)</f>
        <v>1</v>
      </c>
      <c r="I53" s="4" t="n">
        <f aca="false">ROUND((D53-C53)*1440,0)</f>
        <v>140</v>
      </c>
    </row>
    <row r="54" customFormat="false" ht="15" hidden="false" customHeight="false" outlineLevel="0" collapsed="false">
      <c r="A54" s="4" t="n">
        <v>53</v>
      </c>
      <c r="B54" s="4" t="s">
        <v>42</v>
      </c>
      <c r="C54" s="13" t="n">
        <v>46276.5520833333</v>
      </c>
      <c r="D54" s="13" t="n">
        <v>46276.5694444445</v>
      </c>
      <c r="E54" s="14" t="n">
        <v>-0.67</v>
      </c>
      <c r="F54" s="4" t="n">
        <f aca="false">HOUR(C54)</f>
        <v>13</v>
      </c>
      <c r="G54" s="4" t="n">
        <f aca="false">WEEKDAY(C54,2)</f>
        <v>5</v>
      </c>
      <c r="H54" s="4" t="n">
        <f aca="false">IF(E54&gt;0,1,0)</f>
        <v>0</v>
      </c>
      <c r="I54" s="4" t="n">
        <f aca="false">ROUND((D54-C54)*1440,0)</f>
        <v>25</v>
      </c>
    </row>
    <row r="55" customFormat="false" ht="15" hidden="false" customHeight="false" outlineLevel="0" collapsed="false">
      <c r="A55" s="4" t="n">
        <v>54</v>
      </c>
      <c r="B55" s="4" t="s">
        <v>41</v>
      </c>
      <c r="C55" s="13" t="n">
        <v>46276.5694444445</v>
      </c>
      <c r="D55" s="13" t="n">
        <v>46276.6840277778</v>
      </c>
      <c r="E55" s="14" t="n">
        <v>6.41</v>
      </c>
      <c r="F55" s="4" t="n">
        <f aca="false">HOUR(C55)</f>
        <v>13</v>
      </c>
      <c r="G55" s="4" t="n">
        <f aca="false">WEEKDAY(C55,2)</f>
        <v>5</v>
      </c>
      <c r="H55" s="4" t="n">
        <f aca="false">IF(E55&gt;0,1,0)</f>
        <v>1</v>
      </c>
      <c r="I55" s="4" t="n">
        <f aca="false">ROUND((D55-C55)*1440,0)</f>
        <v>165</v>
      </c>
    </row>
    <row r="56" customFormat="false" ht="15" hidden="false" customHeight="false" outlineLevel="0" collapsed="false">
      <c r="A56" s="4" t="n">
        <v>55</v>
      </c>
      <c r="B56" s="4" t="s">
        <v>42</v>
      </c>
      <c r="C56" s="13" t="n">
        <v>46276.6840277778</v>
      </c>
      <c r="D56" s="13" t="n">
        <v>46278.75</v>
      </c>
      <c r="E56" s="14" t="n">
        <v>-22.96</v>
      </c>
      <c r="F56" s="4" t="n">
        <f aca="false">HOUR(C56)</f>
        <v>16</v>
      </c>
      <c r="G56" s="4" t="n">
        <f aca="false">WEEKDAY(C56,2)</f>
        <v>5</v>
      </c>
      <c r="H56" s="4" t="n">
        <f aca="false">IF(E56&gt;0,1,0)</f>
        <v>0</v>
      </c>
      <c r="I56" s="4" t="n">
        <f aca="false">ROUND((D56-C56)*1440,0)</f>
        <v>2975</v>
      </c>
    </row>
    <row r="57" customFormat="false" ht="15" hidden="false" customHeight="false" outlineLevel="0" collapsed="false">
      <c r="A57" s="4" t="n">
        <v>56</v>
      </c>
      <c r="B57" s="4" t="s">
        <v>41</v>
      </c>
      <c r="C57" s="13" t="n">
        <v>46278.7534722222</v>
      </c>
      <c r="D57" s="13" t="n">
        <v>46278.7708333333</v>
      </c>
      <c r="E57" s="14" t="n">
        <v>-4.81</v>
      </c>
      <c r="F57" s="4" t="n">
        <f aca="false">HOUR(C57)</f>
        <v>18</v>
      </c>
      <c r="G57" s="4" t="n">
        <f aca="false">WEEKDAY(C57,2)</f>
        <v>7</v>
      </c>
      <c r="H57" s="4" t="n">
        <f aca="false">IF(E57&gt;0,1,0)</f>
        <v>0</v>
      </c>
      <c r="I57" s="4" t="n">
        <f aca="false">ROUND((D57-C57)*1440,0)</f>
        <v>25</v>
      </c>
    </row>
    <row r="58" customFormat="false" ht="15" hidden="false" customHeight="false" outlineLevel="0" collapsed="false">
      <c r="A58" s="4" t="n">
        <v>57</v>
      </c>
      <c r="B58" s="4" t="s">
        <v>41</v>
      </c>
      <c r="C58" s="13" t="n">
        <v>46278.7951388889</v>
      </c>
      <c r="D58" s="13" t="n">
        <v>46278.8368055556</v>
      </c>
      <c r="E58" s="14" t="n">
        <v>-4.45</v>
      </c>
      <c r="F58" s="4" t="n">
        <f aca="false">HOUR(C58)</f>
        <v>19</v>
      </c>
      <c r="G58" s="4" t="n">
        <f aca="false">WEEKDAY(C58,2)</f>
        <v>7</v>
      </c>
      <c r="H58" s="4" t="n">
        <f aca="false">IF(E58&gt;0,1,0)</f>
        <v>0</v>
      </c>
      <c r="I58" s="4" t="n">
        <f aca="false">ROUND((D58-C58)*1440,0)</f>
        <v>60</v>
      </c>
    </row>
    <row r="59" customFormat="false" ht="15" hidden="false" customHeight="false" outlineLevel="0" collapsed="false">
      <c r="A59" s="4" t="n">
        <v>58</v>
      </c>
      <c r="B59" s="4" t="s">
        <v>42</v>
      </c>
      <c r="C59" s="13" t="n">
        <v>46278.8402777778</v>
      </c>
      <c r="D59" s="13" t="n">
        <v>46278.90625</v>
      </c>
      <c r="E59" s="14" t="n">
        <v>10.64</v>
      </c>
      <c r="F59" s="4" t="n">
        <f aca="false">HOUR(C59)</f>
        <v>20</v>
      </c>
      <c r="G59" s="4" t="n">
        <f aca="false">WEEKDAY(C59,2)</f>
        <v>7</v>
      </c>
      <c r="H59" s="4" t="n">
        <f aca="false">IF(E59&gt;0,1,0)</f>
        <v>1</v>
      </c>
      <c r="I59" s="4" t="n">
        <f aca="false">ROUND((D59-C59)*1440,0)</f>
        <v>95</v>
      </c>
    </row>
    <row r="60" customFormat="false" ht="15" hidden="false" customHeight="false" outlineLevel="0" collapsed="false">
      <c r="A60" s="4" t="n">
        <v>59</v>
      </c>
      <c r="B60" s="4" t="s">
        <v>41</v>
      </c>
      <c r="C60" s="13" t="n">
        <v>46278.9826388889</v>
      </c>
      <c r="D60" s="13" t="n">
        <v>46279.0590277778</v>
      </c>
      <c r="E60" s="14" t="n">
        <v>3.22</v>
      </c>
      <c r="F60" s="4" t="n">
        <f aca="false">HOUR(C60)</f>
        <v>23</v>
      </c>
      <c r="G60" s="4" t="n">
        <f aca="false">WEEKDAY(C60,2)</f>
        <v>7</v>
      </c>
      <c r="H60" s="4" t="n">
        <f aca="false">IF(E60&gt;0,1,0)</f>
        <v>1</v>
      </c>
      <c r="I60" s="4" t="n">
        <f aca="false">ROUND((D60-C60)*1440,0)</f>
        <v>110</v>
      </c>
    </row>
    <row r="61" customFormat="false" ht="15" hidden="false" customHeight="false" outlineLevel="0" collapsed="false">
      <c r="A61" s="4" t="n">
        <v>60</v>
      </c>
      <c r="B61" s="4" t="s">
        <v>42</v>
      </c>
      <c r="C61" s="13" t="n">
        <v>46279.0694444445</v>
      </c>
      <c r="D61" s="13" t="n">
        <v>46279.0729166667</v>
      </c>
      <c r="E61" s="14" t="n">
        <v>-2.16</v>
      </c>
      <c r="F61" s="4" t="n">
        <f aca="false">HOUR(C61)</f>
        <v>1</v>
      </c>
      <c r="G61" s="4" t="n">
        <f aca="false">WEEKDAY(C61,2)</f>
        <v>1</v>
      </c>
      <c r="H61" s="4" t="n">
        <f aca="false">IF(E61&gt;0,1,0)</f>
        <v>0</v>
      </c>
      <c r="I61" s="4" t="n">
        <f aca="false">ROUND((D61-C61)*1440,0)</f>
        <v>5</v>
      </c>
    </row>
    <row r="62" customFormat="false" ht="15" hidden="false" customHeight="false" outlineLevel="0" collapsed="false">
      <c r="A62" s="4" t="n">
        <v>61</v>
      </c>
      <c r="B62" s="4" t="s">
        <v>41</v>
      </c>
      <c r="C62" s="13" t="n">
        <v>46279.1180555556</v>
      </c>
      <c r="D62" s="13" t="n">
        <v>46279.125</v>
      </c>
      <c r="E62" s="14" t="n">
        <v>-2.95</v>
      </c>
      <c r="F62" s="4" t="n">
        <f aca="false">HOUR(C62)</f>
        <v>2</v>
      </c>
      <c r="G62" s="4" t="n">
        <f aca="false">WEEKDAY(C62,2)</f>
        <v>1</v>
      </c>
      <c r="H62" s="4" t="n">
        <f aca="false">IF(E62&gt;0,1,0)</f>
        <v>0</v>
      </c>
      <c r="I62" s="4" t="n">
        <f aca="false">ROUND((D62-C62)*1440,0)</f>
        <v>10</v>
      </c>
    </row>
    <row r="63" customFormat="false" ht="15" hidden="false" customHeight="false" outlineLevel="0" collapsed="false">
      <c r="A63" s="4" t="n">
        <v>62</v>
      </c>
      <c r="B63" s="4" t="s">
        <v>41</v>
      </c>
      <c r="C63" s="13" t="n">
        <v>46279.1875</v>
      </c>
      <c r="D63" s="13" t="n">
        <v>46279.1944444445</v>
      </c>
      <c r="E63" s="14" t="n">
        <v>-4.87</v>
      </c>
      <c r="F63" s="4" t="n">
        <f aca="false">HOUR(C63)</f>
        <v>4</v>
      </c>
      <c r="G63" s="4" t="n">
        <f aca="false">WEEKDAY(C63,2)</f>
        <v>1</v>
      </c>
      <c r="H63" s="4" t="n">
        <f aca="false">IF(E63&gt;0,1,0)</f>
        <v>0</v>
      </c>
      <c r="I63" s="4" t="n">
        <f aca="false">ROUND((D63-C63)*1440,0)</f>
        <v>10</v>
      </c>
    </row>
    <row r="64" customFormat="false" ht="15" hidden="false" customHeight="false" outlineLevel="0" collapsed="false">
      <c r="A64" s="4" t="n">
        <v>63</v>
      </c>
      <c r="B64" s="4" t="s">
        <v>41</v>
      </c>
      <c r="C64" s="13" t="n">
        <v>46279.2222222222</v>
      </c>
      <c r="D64" s="13" t="n">
        <v>46279.2638888889</v>
      </c>
      <c r="E64" s="14" t="n">
        <v>-4.78</v>
      </c>
      <c r="F64" s="4" t="n">
        <f aca="false">HOUR(C64)</f>
        <v>5</v>
      </c>
      <c r="G64" s="4" t="n">
        <f aca="false">WEEKDAY(C64,2)</f>
        <v>1</v>
      </c>
      <c r="H64" s="4" t="n">
        <f aca="false">IF(E64&gt;0,1,0)</f>
        <v>0</v>
      </c>
      <c r="I64" s="4" t="n">
        <f aca="false">ROUND((D64-C64)*1440,0)</f>
        <v>60</v>
      </c>
    </row>
    <row r="65" customFormat="false" ht="15" hidden="false" customHeight="false" outlineLevel="0" collapsed="false">
      <c r="A65" s="4" t="n">
        <v>64</v>
      </c>
      <c r="B65" s="4" t="s">
        <v>42</v>
      </c>
      <c r="C65" s="13" t="n">
        <v>46279.2673611111</v>
      </c>
      <c r="D65" s="13" t="n">
        <v>46279.3159722222</v>
      </c>
      <c r="E65" s="14" t="n">
        <v>-4.43</v>
      </c>
      <c r="F65" s="4" t="n">
        <f aca="false">HOUR(C65)</f>
        <v>6</v>
      </c>
      <c r="G65" s="4" t="n">
        <f aca="false">WEEKDAY(C65,2)</f>
        <v>1</v>
      </c>
      <c r="H65" s="4" t="n">
        <f aca="false">IF(E65&gt;0,1,0)</f>
        <v>0</v>
      </c>
      <c r="I65" s="4" t="n">
        <f aca="false">ROUND((D65-C65)*1440,0)</f>
        <v>70</v>
      </c>
    </row>
    <row r="66" customFormat="false" ht="15" hidden="false" customHeight="false" outlineLevel="0" collapsed="false">
      <c r="A66" s="4" t="n">
        <v>65</v>
      </c>
      <c r="B66" s="4" t="s">
        <v>42</v>
      </c>
      <c r="C66" s="13" t="n">
        <v>46279.4895833333</v>
      </c>
      <c r="D66" s="13" t="n">
        <v>46279.5451388889</v>
      </c>
      <c r="E66" s="14" t="n">
        <v>2.01</v>
      </c>
      <c r="F66" s="4" t="n">
        <f aca="false">HOUR(C66)</f>
        <v>11</v>
      </c>
      <c r="G66" s="4" t="n">
        <f aca="false">WEEKDAY(C66,2)</f>
        <v>1</v>
      </c>
      <c r="H66" s="4" t="n">
        <f aca="false">IF(E66&gt;0,1,0)</f>
        <v>1</v>
      </c>
      <c r="I66" s="4" t="n">
        <f aca="false">ROUND((D66-C66)*1440,0)</f>
        <v>80</v>
      </c>
    </row>
    <row r="67" customFormat="false" ht="15" hidden="false" customHeight="false" outlineLevel="0" collapsed="false">
      <c r="A67" s="4" t="n">
        <v>66</v>
      </c>
      <c r="B67" s="4" t="s">
        <v>41</v>
      </c>
      <c r="C67" s="13" t="n">
        <v>46279.5729166667</v>
      </c>
      <c r="D67" s="13" t="n">
        <v>46279.6354166667</v>
      </c>
      <c r="E67" s="14" t="n">
        <v>-1.15</v>
      </c>
      <c r="F67" s="4" t="n">
        <f aca="false">HOUR(C67)</f>
        <v>13</v>
      </c>
      <c r="G67" s="4" t="n">
        <f aca="false">WEEKDAY(C67,2)</f>
        <v>1</v>
      </c>
      <c r="H67" s="4" t="n">
        <f aca="false">IF(E67&gt;0,1,0)</f>
        <v>0</v>
      </c>
      <c r="I67" s="4" t="n">
        <f aca="false">ROUND((D67-C67)*1440,0)</f>
        <v>90</v>
      </c>
    </row>
    <row r="68" customFormat="false" ht="15" hidden="false" customHeight="false" outlineLevel="0" collapsed="false">
      <c r="A68" s="4" t="n">
        <v>67</v>
      </c>
      <c r="B68" s="4" t="s">
        <v>42</v>
      </c>
      <c r="C68" s="13" t="n">
        <v>46279.6354166667</v>
      </c>
      <c r="D68" s="13" t="n">
        <v>46279.6493055556</v>
      </c>
      <c r="E68" s="14" t="n">
        <v>-3.05</v>
      </c>
      <c r="F68" s="4" t="n">
        <f aca="false">HOUR(C68)</f>
        <v>15</v>
      </c>
      <c r="G68" s="4" t="n">
        <f aca="false">WEEKDAY(C68,2)</f>
        <v>1</v>
      </c>
      <c r="H68" s="4" t="n">
        <f aca="false">IF(E68&gt;0,1,0)</f>
        <v>0</v>
      </c>
      <c r="I68" s="4" t="n">
        <f aca="false">ROUND((D68-C68)*1440,0)</f>
        <v>20</v>
      </c>
    </row>
    <row r="69" customFormat="false" ht="15" hidden="false" customHeight="false" outlineLevel="0" collapsed="false">
      <c r="A69" s="4" t="n">
        <v>68</v>
      </c>
      <c r="B69" s="4" t="s">
        <v>41</v>
      </c>
      <c r="C69" s="13" t="n">
        <v>46279.6493055556</v>
      </c>
      <c r="D69" s="13" t="n">
        <v>46279.78125</v>
      </c>
      <c r="E69" s="14" t="n">
        <v>1.71</v>
      </c>
      <c r="F69" s="4" t="n">
        <f aca="false">HOUR(C69)</f>
        <v>15</v>
      </c>
      <c r="G69" s="4" t="n">
        <f aca="false">WEEKDAY(C69,2)</f>
        <v>1</v>
      </c>
      <c r="H69" s="4" t="n">
        <f aca="false">IF(E69&gt;0,1,0)</f>
        <v>1</v>
      </c>
      <c r="I69" s="4" t="n">
        <f aca="false">ROUND((D69-C69)*1440,0)</f>
        <v>190</v>
      </c>
    </row>
    <row r="70" customFormat="false" ht="15" hidden="false" customHeight="false" outlineLevel="0" collapsed="false">
      <c r="A70" s="4" t="n">
        <v>69</v>
      </c>
      <c r="B70" s="4" t="s">
        <v>42</v>
      </c>
      <c r="C70" s="13" t="n">
        <v>46279.78125</v>
      </c>
      <c r="D70" s="13" t="n">
        <v>46279.8333333333</v>
      </c>
      <c r="E70" s="14" t="n">
        <v>-2.27</v>
      </c>
      <c r="F70" s="4" t="n">
        <f aca="false">HOUR(C70)</f>
        <v>18</v>
      </c>
      <c r="G70" s="4" t="n">
        <f aca="false">WEEKDAY(C70,2)</f>
        <v>1</v>
      </c>
      <c r="H70" s="4" t="n">
        <f aca="false">IF(E70&gt;0,1,0)</f>
        <v>0</v>
      </c>
      <c r="I70" s="4" t="n">
        <f aca="false">ROUND((D70-C70)*1440,0)</f>
        <v>75</v>
      </c>
    </row>
    <row r="71" customFormat="false" ht="15" hidden="false" customHeight="false" outlineLevel="0" collapsed="false">
      <c r="A71" s="4" t="n">
        <v>70</v>
      </c>
      <c r="B71" s="4" t="s">
        <v>41</v>
      </c>
      <c r="C71" s="13" t="n">
        <v>46279.8819444445</v>
      </c>
      <c r="D71" s="13" t="n">
        <v>46280</v>
      </c>
      <c r="E71" s="14" t="n">
        <v>14.96</v>
      </c>
      <c r="F71" s="4" t="n">
        <f aca="false">HOUR(C71)</f>
        <v>21</v>
      </c>
      <c r="G71" s="4" t="n">
        <f aca="false">WEEKDAY(C71,2)</f>
        <v>1</v>
      </c>
      <c r="H71" s="4" t="n">
        <f aca="false">IF(E71&gt;0,1,0)</f>
        <v>1</v>
      </c>
      <c r="I71" s="4" t="n">
        <f aca="false">ROUND((D71-C71)*1440,0)</f>
        <v>170</v>
      </c>
    </row>
    <row r="72" customFormat="false" ht="15" hidden="false" customHeight="false" outlineLevel="0" collapsed="false">
      <c r="A72" s="4" t="n">
        <v>71</v>
      </c>
      <c r="B72" s="4" t="s">
        <v>41</v>
      </c>
      <c r="C72" s="13" t="n">
        <v>46280.2118055556</v>
      </c>
      <c r="D72" s="13" t="n">
        <v>46280.2326388889</v>
      </c>
      <c r="E72" s="14" t="n">
        <v>-4.59</v>
      </c>
      <c r="F72" s="4" t="n">
        <f aca="false">HOUR(C72)</f>
        <v>5</v>
      </c>
      <c r="G72" s="4" t="n">
        <f aca="false">WEEKDAY(C72,2)</f>
        <v>2</v>
      </c>
      <c r="H72" s="4" t="n">
        <f aca="false">IF(E72&gt;0,1,0)</f>
        <v>0</v>
      </c>
      <c r="I72" s="4" t="n">
        <f aca="false">ROUND((D72-C72)*1440,0)</f>
        <v>30</v>
      </c>
    </row>
    <row r="73" customFormat="false" ht="15" hidden="false" customHeight="false" outlineLevel="0" collapsed="false">
      <c r="A73" s="4" t="n">
        <v>72</v>
      </c>
      <c r="B73" s="4" t="s">
        <v>42</v>
      </c>
      <c r="C73" s="13" t="n">
        <v>46280.2881944445</v>
      </c>
      <c r="D73" s="13" t="n">
        <v>46280.3402777778</v>
      </c>
      <c r="E73" s="14" t="n">
        <v>0.28</v>
      </c>
      <c r="F73" s="4" t="n">
        <f aca="false">HOUR(C73)</f>
        <v>6</v>
      </c>
      <c r="G73" s="4" t="n">
        <f aca="false">WEEKDAY(C73,2)</f>
        <v>2</v>
      </c>
      <c r="H73" s="4" t="n">
        <f aca="false">IF(E73&gt;0,1,0)</f>
        <v>1</v>
      </c>
      <c r="I73" s="4" t="n">
        <f aca="false">ROUND((D73-C73)*1440,0)</f>
        <v>75</v>
      </c>
    </row>
    <row r="74" customFormat="false" ht="15" hidden="false" customHeight="false" outlineLevel="0" collapsed="false">
      <c r="A74" s="4" t="n">
        <v>73</v>
      </c>
      <c r="B74" s="4" t="s">
        <v>41</v>
      </c>
      <c r="C74" s="13" t="n">
        <v>46280.3402777778</v>
      </c>
      <c r="D74" s="13" t="n">
        <v>46280.3541666667</v>
      </c>
      <c r="E74" s="14" t="n">
        <v>-3.63</v>
      </c>
      <c r="F74" s="4" t="n">
        <f aca="false">HOUR(C74)</f>
        <v>8</v>
      </c>
      <c r="G74" s="4" t="n">
        <f aca="false">WEEKDAY(C74,2)</f>
        <v>2</v>
      </c>
      <c r="H74" s="4" t="n">
        <f aca="false">IF(E74&gt;0,1,0)</f>
        <v>0</v>
      </c>
      <c r="I74" s="4" t="n">
        <f aca="false">ROUND((D74-C74)*1440,0)</f>
        <v>20</v>
      </c>
    </row>
    <row r="75" customFormat="false" ht="15" hidden="false" customHeight="false" outlineLevel="0" collapsed="false">
      <c r="A75" s="4" t="n">
        <v>74</v>
      </c>
      <c r="B75" s="4" t="s">
        <v>41</v>
      </c>
      <c r="C75" s="13" t="n">
        <v>46280.3993055556</v>
      </c>
      <c r="D75" s="13" t="n">
        <v>46280.4305555556</v>
      </c>
      <c r="E75" s="14" t="n">
        <v>22.19</v>
      </c>
      <c r="F75" s="4" t="n">
        <f aca="false">HOUR(C75)</f>
        <v>9</v>
      </c>
      <c r="G75" s="4" t="n">
        <f aca="false">WEEKDAY(C75,2)</f>
        <v>2</v>
      </c>
      <c r="H75" s="4" t="n">
        <f aca="false">IF(E75&gt;0,1,0)</f>
        <v>1</v>
      </c>
      <c r="I75" s="4" t="n">
        <f aca="false">ROUND((D75-C75)*1440,0)</f>
        <v>45</v>
      </c>
    </row>
    <row r="76" customFormat="false" ht="15" hidden="false" customHeight="false" outlineLevel="0" collapsed="false">
      <c r="A76" s="4" t="n">
        <v>75</v>
      </c>
      <c r="B76" s="4" t="s">
        <v>42</v>
      </c>
      <c r="C76" s="13" t="n">
        <v>46280.5104166667</v>
      </c>
      <c r="D76" s="13" t="n">
        <v>46280.5590277778</v>
      </c>
      <c r="E76" s="14" t="n">
        <v>2.5</v>
      </c>
      <c r="F76" s="4" t="n">
        <f aca="false">HOUR(C76)</f>
        <v>12</v>
      </c>
      <c r="G76" s="4" t="n">
        <f aca="false">WEEKDAY(C76,2)</f>
        <v>2</v>
      </c>
      <c r="H76" s="4" t="n">
        <f aca="false">IF(E76&gt;0,1,0)</f>
        <v>1</v>
      </c>
      <c r="I76" s="4" t="n">
        <f aca="false">ROUND((D76-C76)*1440,0)</f>
        <v>70</v>
      </c>
    </row>
    <row r="77" customFormat="false" ht="15" hidden="false" customHeight="false" outlineLevel="0" collapsed="false">
      <c r="A77" s="4" t="n">
        <v>76</v>
      </c>
      <c r="B77" s="4" t="s">
        <v>41</v>
      </c>
      <c r="C77" s="13" t="n">
        <v>46280.5590277778</v>
      </c>
      <c r="D77" s="13" t="n">
        <v>46280.5659722222</v>
      </c>
      <c r="E77" s="14" t="n">
        <v>-5.14</v>
      </c>
      <c r="F77" s="4" t="n">
        <f aca="false">HOUR(C77)</f>
        <v>13</v>
      </c>
      <c r="G77" s="4" t="n">
        <f aca="false">WEEKDAY(C77,2)</f>
        <v>2</v>
      </c>
      <c r="H77" s="4" t="n">
        <f aca="false">IF(E77&gt;0,1,0)</f>
        <v>0</v>
      </c>
      <c r="I77" s="4" t="n">
        <f aca="false">ROUND((D77-C77)*1440,0)</f>
        <v>10</v>
      </c>
    </row>
    <row r="78" customFormat="false" ht="15" hidden="false" customHeight="false" outlineLevel="0" collapsed="false">
      <c r="A78" s="4" t="n">
        <v>77</v>
      </c>
      <c r="B78" s="4" t="s">
        <v>41</v>
      </c>
      <c r="C78" s="13" t="n">
        <v>46280.6145833333</v>
      </c>
      <c r="D78" s="13" t="n">
        <v>46280.6215277778</v>
      </c>
      <c r="E78" s="14" t="n">
        <v>-4.41</v>
      </c>
      <c r="F78" s="4" t="n">
        <f aca="false">HOUR(C78)</f>
        <v>14</v>
      </c>
      <c r="G78" s="4" t="n">
        <f aca="false">WEEKDAY(C78,2)</f>
        <v>2</v>
      </c>
      <c r="H78" s="4" t="n">
        <f aca="false">IF(E78&gt;0,1,0)</f>
        <v>0</v>
      </c>
      <c r="I78" s="4" t="n">
        <f aca="false">ROUND((D78-C78)*1440,0)</f>
        <v>10</v>
      </c>
    </row>
    <row r="79" customFormat="false" ht="15" hidden="false" customHeight="false" outlineLevel="0" collapsed="false">
      <c r="A79" s="4" t="n">
        <v>78</v>
      </c>
      <c r="B79" s="4" t="s">
        <v>42</v>
      </c>
      <c r="C79" s="13" t="n">
        <v>46280.625</v>
      </c>
      <c r="D79" s="13" t="n">
        <v>46280.7951388889</v>
      </c>
      <c r="E79" s="14" t="n">
        <v>8.11</v>
      </c>
      <c r="F79" s="4" t="n">
        <f aca="false">HOUR(C79)</f>
        <v>15</v>
      </c>
      <c r="G79" s="4" t="n">
        <f aca="false">WEEKDAY(C79,2)</f>
        <v>2</v>
      </c>
      <c r="H79" s="4" t="n">
        <f aca="false">IF(E79&gt;0,1,0)</f>
        <v>1</v>
      </c>
      <c r="I79" s="4" t="n">
        <f aca="false">ROUND((D79-C79)*1440,0)</f>
        <v>245</v>
      </c>
    </row>
    <row r="80" customFormat="false" ht="15" hidden="false" customHeight="false" outlineLevel="0" collapsed="false">
      <c r="A80" s="4" t="n">
        <v>79</v>
      </c>
      <c r="B80" s="4" t="s">
        <v>41</v>
      </c>
      <c r="C80" s="13" t="n">
        <v>46280.7951388889</v>
      </c>
      <c r="D80" s="13" t="n">
        <v>46280.8333333333</v>
      </c>
      <c r="E80" s="14" t="n">
        <v>-1.73</v>
      </c>
      <c r="F80" s="4" t="n">
        <f aca="false">HOUR(C80)</f>
        <v>19</v>
      </c>
      <c r="G80" s="4" t="n">
        <f aca="false">WEEKDAY(C80,2)</f>
        <v>2</v>
      </c>
      <c r="H80" s="4" t="n">
        <f aca="false">IF(E80&gt;0,1,0)</f>
        <v>0</v>
      </c>
      <c r="I80" s="4" t="n">
        <f aca="false">ROUND((D80-C80)*1440,0)</f>
        <v>55</v>
      </c>
    </row>
    <row r="81" customFormat="false" ht="15" hidden="false" customHeight="false" outlineLevel="0" collapsed="false">
      <c r="A81" s="4" t="n">
        <v>80</v>
      </c>
      <c r="B81" s="4" t="s">
        <v>42</v>
      </c>
      <c r="C81" s="13" t="n">
        <v>46280.8402777778</v>
      </c>
      <c r="D81" s="13" t="n">
        <v>46280.8784722222</v>
      </c>
      <c r="E81" s="14" t="n">
        <v>-1.26</v>
      </c>
      <c r="F81" s="4" t="n">
        <f aca="false">HOUR(C81)</f>
        <v>20</v>
      </c>
      <c r="G81" s="4" t="n">
        <f aca="false">WEEKDAY(C81,2)</f>
        <v>2</v>
      </c>
      <c r="H81" s="4" t="n">
        <f aca="false">IF(E81&gt;0,1,0)</f>
        <v>0</v>
      </c>
      <c r="I81" s="4" t="n">
        <f aca="false">ROUND((D81-C81)*1440,0)</f>
        <v>55</v>
      </c>
    </row>
    <row r="82" customFormat="false" ht="15" hidden="false" customHeight="false" outlineLevel="0" collapsed="false">
      <c r="A82" s="4" t="n">
        <v>81</v>
      </c>
      <c r="B82" s="4" t="s">
        <v>41</v>
      </c>
      <c r="C82" s="13" t="n">
        <v>46280.8819444445</v>
      </c>
      <c r="D82" s="13" t="n">
        <v>46280.8819444445</v>
      </c>
      <c r="E82" s="14" t="n">
        <v>-1.97</v>
      </c>
      <c r="F82" s="4" t="n">
        <f aca="false">HOUR(C82)</f>
        <v>21</v>
      </c>
      <c r="G82" s="4" t="n">
        <f aca="false">WEEKDAY(C82,2)</f>
        <v>2</v>
      </c>
      <c r="H82" s="4" t="n">
        <f aca="false">IF(E82&gt;0,1,0)</f>
        <v>0</v>
      </c>
      <c r="I82" s="4" t="n">
        <f aca="false">ROUND((D82-C82)*1440,0)</f>
        <v>0</v>
      </c>
    </row>
    <row r="83" customFormat="false" ht="15" hidden="false" customHeight="false" outlineLevel="0" collapsed="false">
      <c r="A83" s="4" t="n">
        <v>82</v>
      </c>
      <c r="B83" s="4" t="s">
        <v>41</v>
      </c>
      <c r="C83" s="13" t="n">
        <v>46280.9131944445</v>
      </c>
      <c r="D83" s="13" t="n">
        <v>46280.9166666667</v>
      </c>
      <c r="E83" s="14" t="n">
        <v>-2.03</v>
      </c>
      <c r="F83" s="4" t="n">
        <f aca="false">HOUR(C83)</f>
        <v>21</v>
      </c>
      <c r="G83" s="4" t="n">
        <f aca="false">WEEKDAY(C83,2)</f>
        <v>2</v>
      </c>
      <c r="H83" s="4" t="n">
        <f aca="false">IF(E83&gt;0,1,0)</f>
        <v>0</v>
      </c>
      <c r="I83" s="4" t="n">
        <f aca="false">ROUND((D83-C83)*1440,0)</f>
        <v>5</v>
      </c>
    </row>
    <row r="84" customFormat="false" ht="15" hidden="false" customHeight="false" outlineLevel="0" collapsed="false">
      <c r="A84" s="4" t="n">
        <v>83</v>
      </c>
      <c r="B84" s="4" t="s">
        <v>41</v>
      </c>
      <c r="C84" s="13" t="n">
        <v>46281.0208333333</v>
      </c>
      <c r="D84" s="13" t="n">
        <v>46281.1180555556</v>
      </c>
      <c r="E84" s="14" t="n">
        <v>-1.3</v>
      </c>
      <c r="F84" s="4" t="n">
        <f aca="false">HOUR(C84)</f>
        <v>0</v>
      </c>
      <c r="G84" s="4" t="n">
        <f aca="false">WEEKDAY(C84,2)</f>
        <v>3</v>
      </c>
      <c r="H84" s="4" t="n">
        <f aca="false">IF(E84&gt;0,1,0)</f>
        <v>0</v>
      </c>
      <c r="I84" s="4" t="n">
        <f aca="false">ROUND((D84-C84)*1440,0)</f>
        <v>140</v>
      </c>
    </row>
    <row r="85" customFormat="false" ht="15" hidden="false" customHeight="false" outlineLevel="0" collapsed="false">
      <c r="A85" s="4" t="n">
        <v>84</v>
      </c>
      <c r="B85" s="4" t="s">
        <v>42</v>
      </c>
      <c r="C85" s="13" t="n">
        <v>46281.1215277778</v>
      </c>
      <c r="D85" s="13" t="n">
        <v>46281.1354166667</v>
      </c>
      <c r="E85" s="14" t="n">
        <v>-2.29</v>
      </c>
      <c r="F85" s="4" t="n">
        <f aca="false">HOUR(C85)</f>
        <v>2</v>
      </c>
      <c r="G85" s="4" t="n">
        <f aca="false">WEEKDAY(C85,2)</f>
        <v>3</v>
      </c>
      <c r="H85" s="4" t="n">
        <f aca="false">IF(E85&gt;0,1,0)</f>
        <v>0</v>
      </c>
      <c r="I85" s="4" t="n">
        <f aca="false">ROUND((D85-C85)*1440,0)</f>
        <v>20</v>
      </c>
    </row>
    <row r="86" customFormat="false" ht="15" hidden="false" customHeight="false" outlineLevel="0" collapsed="false">
      <c r="A86" s="4" t="n">
        <v>85</v>
      </c>
      <c r="B86" s="4" t="s">
        <v>41</v>
      </c>
      <c r="C86" s="13" t="n">
        <v>46281.1388888889</v>
      </c>
      <c r="D86" s="13" t="n">
        <v>46281.2361111111</v>
      </c>
      <c r="E86" s="14" t="n">
        <v>1.73</v>
      </c>
      <c r="F86" s="4" t="n">
        <f aca="false">HOUR(C86)</f>
        <v>3</v>
      </c>
      <c r="G86" s="4" t="n">
        <f aca="false">WEEKDAY(C86,2)</f>
        <v>3</v>
      </c>
      <c r="H86" s="4" t="n">
        <f aca="false">IF(E86&gt;0,1,0)</f>
        <v>1</v>
      </c>
      <c r="I86" s="4" t="n">
        <f aca="false">ROUND((D86-C86)*1440,0)</f>
        <v>140</v>
      </c>
    </row>
    <row r="87" customFormat="false" ht="15" hidden="false" customHeight="false" outlineLevel="0" collapsed="false">
      <c r="A87" s="4" t="n">
        <v>86</v>
      </c>
      <c r="B87" s="4" t="s">
        <v>42</v>
      </c>
      <c r="C87" s="13" t="n">
        <v>46281.2361111111</v>
      </c>
      <c r="D87" s="13" t="n">
        <v>46281.3263888889</v>
      </c>
      <c r="E87" s="14" t="n">
        <v>10.65</v>
      </c>
      <c r="F87" s="4" t="n">
        <f aca="false">HOUR(C87)</f>
        <v>5</v>
      </c>
      <c r="G87" s="4" t="n">
        <f aca="false">WEEKDAY(C87,2)</f>
        <v>3</v>
      </c>
      <c r="H87" s="4" t="n">
        <f aca="false">IF(E87&gt;0,1,0)</f>
        <v>1</v>
      </c>
      <c r="I87" s="4" t="n">
        <f aca="false">ROUND((D87-C87)*1440,0)</f>
        <v>130</v>
      </c>
    </row>
    <row r="88" customFormat="false" ht="15" hidden="false" customHeight="false" outlineLevel="0" collapsed="false">
      <c r="A88" s="4" t="n">
        <v>87</v>
      </c>
      <c r="B88" s="4" t="s">
        <v>41</v>
      </c>
      <c r="C88" s="13" t="n">
        <v>46281.3993055556</v>
      </c>
      <c r="D88" s="13" t="n">
        <v>46281.4409722222</v>
      </c>
      <c r="E88" s="14" t="n">
        <v>5.15</v>
      </c>
      <c r="F88" s="4" t="n">
        <f aca="false">HOUR(C88)</f>
        <v>9</v>
      </c>
      <c r="G88" s="4" t="n">
        <f aca="false">WEEKDAY(C88,2)</f>
        <v>3</v>
      </c>
      <c r="H88" s="4" t="n">
        <f aca="false">IF(E88&gt;0,1,0)</f>
        <v>1</v>
      </c>
      <c r="I88" s="4" t="n">
        <f aca="false">ROUND((D88-C88)*1440,0)</f>
        <v>60</v>
      </c>
    </row>
    <row r="89" customFormat="false" ht="15" hidden="false" customHeight="false" outlineLevel="0" collapsed="false">
      <c r="A89" s="4" t="n">
        <v>88</v>
      </c>
      <c r="B89" s="4" t="s">
        <v>42</v>
      </c>
      <c r="C89" s="13" t="n">
        <v>46281.4618055556</v>
      </c>
      <c r="D89" s="13" t="n">
        <v>46281.5138888889</v>
      </c>
      <c r="E89" s="14" t="n">
        <v>-3.46</v>
      </c>
      <c r="F89" s="4" t="n">
        <f aca="false">HOUR(C89)</f>
        <v>11</v>
      </c>
      <c r="G89" s="4" t="n">
        <f aca="false">WEEKDAY(C89,2)</f>
        <v>3</v>
      </c>
      <c r="H89" s="4" t="n">
        <f aca="false">IF(E89&gt;0,1,0)</f>
        <v>0</v>
      </c>
      <c r="I89" s="4" t="n">
        <f aca="false">ROUND((D89-C89)*1440,0)</f>
        <v>75</v>
      </c>
    </row>
    <row r="90" customFormat="false" ht="15" hidden="false" customHeight="false" outlineLevel="0" collapsed="false">
      <c r="A90" s="4" t="n">
        <v>89</v>
      </c>
      <c r="B90" s="4" t="s">
        <v>41</v>
      </c>
      <c r="C90" s="13" t="n">
        <v>46281.6041666667</v>
      </c>
      <c r="D90" s="13" t="n">
        <v>46281.6076388889</v>
      </c>
      <c r="E90" s="14" t="n">
        <v>23.03</v>
      </c>
      <c r="F90" s="4" t="n">
        <f aca="false">HOUR(C90)</f>
        <v>14</v>
      </c>
      <c r="G90" s="4" t="n">
        <f aca="false">WEEKDAY(C90,2)</f>
        <v>3</v>
      </c>
      <c r="H90" s="4" t="n">
        <f aca="false">IF(E90&gt;0,1,0)</f>
        <v>1</v>
      </c>
      <c r="I90" s="4" t="n">
        <f aca="false">ROUND((D90-C90)*1440,0)</f>
        <v>5</v>
      </c>
    </row>
    <row r="91" customFormat="false" ht="15" hidden="false" customHeight="false" outlineLevel="0" collapsed="false">
      <c r="A91" s="4" t="n">
        <v>90</v>
      </c>
      <c r="B91" s="4" t="s">
        <v>42</v>
      </c>
      <c r="C91" s="13" t="n">
        <v>46281.6840277778</v>
      </c>
      <c r="D91" s="13" t="n">
        <v>46281.7048611111</v>
      </c>
      <c r="E91" s="14" t="n">
        <v>0.18</v>
      </c>
      <c r="F91" s="4" t="n">
        <f aca="false">HOUR(C91)</f>
        <v>16</v>
      </c>
      <c r="G91" s="4" t="n">
        <f aca="false">WEEKDAY(C91,2)</f>
        <v>3</v>
      </c>
      <c r="H91" s="4" t="n">
        <f aca="false">IF(E91&gt;0,1,0)</f>
        <v>1</v>
      </c>
      <c r="I91" s="4" t="n">
        <f aca="false">ROUND((D91-C91)*1440,0)</f>
        <v>30</v>
      </c>
    </row>
    <row r="92" customFormat="false" ht="15" hidden="false" customHeight="false" outlineLevel="0" collapsed="false">
      <c r="A92" s="4" t="n">
        <v>91</v>
      </c>
      <c r="B92" s="4" t="s">
        <v>41</v>
      </c>
      <c r="C92" s="13" t="n">
        <v>46281.7048611111</v>
      </c>
      <c r="D92" s="13" t="n">
        <v>46281.7708333333</v>
      </c>
      <c r="E92" s="14" t="n">
        <v>-6.11</v>
      </c>
      <c r="F92" s="4" t="n">
        <f aca="false">HOUR(C92)</f>
        <v>16</v>
      </c>
      <c r="G92" s="4" t="n">
        <f aca="false">WEEKDAY(C92,2)</f>
        <v>3</v>
      </c>
      <c r="H92" s="4" t="n">
        <f aca="false">IF(E92&gt;0,1,0)</f>
        <v>0</v>
      </c>
      <c r="I92" s="4" t="n">
        <f aca="false">ROUND((D92-C92)*1440,0)</f>
        <v>95</v>
      </c>
    </row>
    <row r="93" customFormat="false" ht="15" hidden="false" customHeight="false" outlineLevel="0" collapsed="false">
      <c r="A93" s="4" t="n">
        <v>92</v>
      </c>
      <c r="B93" s="4" t="s">
        <v>41</v>
      </c>
      <c r="C93" s="13" t="n">
        <v>46281.9236111111</v>
      </c>
      <c r="D93" s="13" t="n">
        <v>46281.9375</v>
      </c>
      <c r="E93" s="14" t="n">
        <v>-3.79</v>
      </c>
      <c r="F93" s="4" t="n">
        <f aca="false">HOUR(C93)</f>
        <v>22</v>
      </c>
      <c r="G93" s="4" t="n">
        <f aca="false">WEEKDAY(C93,2)</f>
        <v>3</v>
      </c>
      <c r="H93" s="4" t="n">
        <f aca="false">IF(E93&gt;0,1,0)</f>
        <v>0</v>
      </c>
      <c r="I93" s="4" t="n">
        <f aca="false">ROUND((D93-C93)*1440,0)</f>
        <v>20</v>
      </c>
    </row>
    <row r="94" customFormat="false" ht="15" hidden="false" customHeight="false" outlineLevel="0" collapsed="false">
      <c r="A94" s="4" t="n">
        <v>93</v>
      </c>
      <c r="B94" s="4" t="s">
        <v>41</v>
      </c>
      <c r="C94" s="13" t="n">
        <v>46282.0104166667</v>
      </c>
      <c r="D94" s="13" t="n">
        <v>46282.0833333333</v>
      </c>
      <c r="E94" s="14" t="n">
        <v>0.37</v>
      </c>
      <c r="F94" s="4" t="n">
        <f aca="false">HOUR(C94)</f>
        <v>0</v>
      </c>
      <c r="G94" s="4" t="n">
        <f aca="false">WEEKDAY(C94,2)</f>
        <v>4</v>
      </c>
      <c r="H94" s="4" t="n">
        <f aca="false">IF(E94&gt;0,1,0)</f>
        <v>1</v>
      </c>
      <c r="I94" s="4" t="n">
        <f aca="false">ROUND((D94-C94)*1440,0)</f>
        <v>105</v>
      </c>
    </row>
    <row r="95" customFormat="false" ht="15" hidden="false" customHeight="false" outlineLevel="0" collapsed="false">
      <c r="A95" s="4" t="n">
        <v>94</v>
      </c>
      <c r="B95" s="4" t="s">
        <v>42</v>
      </c>
      <c r="C95" s="13" t="n">
        <v>46282.0868055556</v>
      </c>
      <c r="D95" s="13" t="n">
        <v>46282.09375</v>
      </c>
      <c r="E95" s="14" t="n">
        <v>-2.18</v>
      </c>
      <c r="F95" s="4" t="n">
        <f aca="false">HOUR(C95)</f>
        <v>2</v>
      </c>
      <c r="G95" s="4" t="n">
        <f aca="false">WEEKDAY(C95,2)</f>
        <v>4</v>
      </c>
      <c r="H95" s="4" t="n">
        <f aca="false">IF(E95&gt;0,1,0)</f>
        <v>0</v>
      </c>
      <c r="I95" s="4" t="n">
        <f aca="false">ROUND((D95-C95)*1440,0)</f>
        <v>10</v>
      </c>
    </row>
    <row r="96" customFormat="false" ht="15" hidden="false" customHeight="false" outlineLevel="0" collapsed="false">
      <c r="A96" s="4" t="n">
        <v>95</v>
      </c>
      <c r="B96" s="4" t="s">
        <v>41</v>
      </c>
      <c r="C96" s="13" t="n">
        <v>46282.1631944445</v>
      </c>
      <c r="D96" s="13" t="n">
        <v>46282.2708333333</v>
      </c>
      <c r="E96" s="14" t="n">
        <v>-0.59</v>
      </c>
      <c r="F96" s="4" t="n">
        <f aca="false">HOUR(C96)</f>
        <v>3</v>
      </c>
      <c r="G96" s="4" t="n">
        <f aca="false">WEEKDAY(C96,2)</f>
        <v>4</v>
      </c>
      <c r="H96" s="4" t="n">
        <f aca="false">IF(E96&gt;0,1,0)</f>
        <v>0</v>
      </c>
      <c r="I96" s="4" t="n">
        <f aca="false">ROUND((D96-C96)*1440,0)</f>
        <v>155</v>
      </c>
    </row>
    <row r="97" customFormat="false" ht="15" hidden="false" customHeight="false" outlineLevel="0" collapsed="false">
      <c r="A97" s="4" t="n">
        <v>96</v>
      </c>
      <c r="B97" s="4" t="s">
        <v>42</v>
      </c>
      <c r="C97" s="13" t="n">
        <v>46282.3333333333</v>
      </c>
      <c r="D97" s="13" t="n">
        <v>46282.3333333333</v>
      </c>
      <c r="E97" s="14" t="n">
        <v>-3.8</v>
      </c>
      <c r="F97" s="4" t="n">
        <f aca="false">HOUR(C97)</f>
        <v>8</v>
      </c>
      <c r="G97" s="4" t="n">
        <f aca="false">WEEKDAY(C97,2)</f>
        <v>4</v>
      </c>
      <c r="H97" s="4" t="n">
        <f aca="false">IF(E97&gt;0,1,0)</f>
        <v>0</v>
      </c>
      <c r="I97" s="4" t="n">
        <f aca="false">ROUND((D97-C97)*1440,0)</f>
        <v>0</v>
      </c>
    </row>
    <row r="98" customFormat="false" ht="15" hidden="false" customHeight="false" outlineLevel="0" collapsed="false">
      <c r="A98" s="4" t="n">
        <v>97</v>
      </c>
      <c r="B98" s="4" t="s">
        <v>41</v>
      </c>
      <c r="C98" s="13" t="n">
        <v>46282.3993055556</v>
      </c>
      <c r="D98" s="13" t="n">
        <v>46282.4791666667</v>
      </c>
      <c r="E98" s="14" t="n">
        <v>0.88</v>
      </c>
      <c r="F98" s="4" t="n">
        <f aca="false">HOUR(C98)</f>
        <v>9</v>
      </c>
      <c r="G98" s="4" t="n">
        <f aca="false">WEEKDAY(C98,2)</f>
        <v>4</v>
      </c>
      <c r="H98" s="4" t="n">
        <f aca="false">IF(E98&gt;0,1,0)</f>
        <v>1</v>
      </c>
      <c r="I98" s="4" t="n">
        <f aca="false">ROUND((D98-C98)*1440,0)</f>
        <v>115</v>
      </c>
    </row>
    <row r="99" customFormat="false" ht="15" hidden="false" customHeight="false" outlineLevel="0" collapsed="false">
      <c r="A99" s="4" t="n">
        <v>98</v>
      </c>
      <c r="B99" s="4" t="s">
        <v>41</v>
      </c>
      <c r="C99" s="13" t="n">
        <v>46282.5590277778</v>
      </c>
      <c r="D99" s="13" t="n">
        <v>46282.5798611111</v>
      </c>
      <c r="E99" s="14" t="n">
        <v>-5.59</v>
      </c>
      <c r="F99" s="4" t="n">
        <f aca="false">HOUR(C99)</f>
        <v>13</v>
      </c>
      <c r="G99" s="4" t="n">
        <f aca="false">WEEKDAY(C99,2)</f>
        <v>4</v>
      </c>
      <c r="H99" s="4" t="n">
        <f aca="false">IF(E99&gt;0,1,0)</f>
        <v>0</v>
      </c>
      <c r="I99" s="4" t="n">
        <f aca="false">ROUND((D99-C99)*1440,0)</f>
        <v>30</v>
      </c>
    </row>
    <row r="100" customFormat="false" ht="15" hidden="false" customHeight="false" outlineLevel="0" collapsed="false">
      <c r="A100" s="4" t="n">
        <v>99</v>
      </c>
      <c r="B100" s="4" t="s">
        <v>41</v>
      </c>
      <c r="C100" s="13" t="n">
        <v>46282.6215277778</v>
      </c>
      <c r="D100" s="13" t="n">
        <v>46282.625</v>
      </c>
      <c r="E100" s="14" t="n">
        <v>-3.97</v>
      </c>
      <c r="F100" s="4" t="n">
        <f aca="false">HOUR(C100)</f>
        <v>14</v>
      </c>
      <c r="G100" s="4" t="n">
        <f aca="false">WEEKDAY(C100,2)</f>
        <v>4</v>
      </c>
      <c r="H100" s="4" t="n">
        <f aca="false">IF(E100&gt;0,1,0)</f>
        <v>0</v>
      </c>
      <c r="I100" s="4" t="n">
        <f aca="false">ROUND((D100-C100)*1440,0)</f>
        <v>5</v>
      </c>
    </row>
    <row r="101" customFormat="false" ht="15" hidden="false" customHeight="false" outlineLevel="0" collapsed="false">
      <c r="A101" s="4" t="n">
        <v>100</v>
      </c>
      <c r="B101" s="4" t="s">
        <v>41</v>
      </c>
      <c r="C101" s="13" t="n">
        <v>46282.6493055556</v>
      </c>
      <c r="D101" s="13" t="n">
        <v>46282.78125</v>
      </c>
      <c r="E101" s="14" t="n">
        <v>5.66</v>
      </c>
      <c r="F101" s="4" t="n">
        <f aca="false">HOUR(C101)</f>
        <v>15</v>
      </c>
      <c r="G101" s="4" t="n">
        <f aca="false">WEEKDAY(C101,2)</f>
        <v>4</v>
      </c>
      <c r="H101" s="4" t="n">
        <f aca="false">IF(E101&gt;0,1,0)</f>
        <v>1</v>
      </c>
      <c r="I101" s="4" t="n">
        <f aca="false">ROUND((D101-C101)*1440,0)</f>
        <v>190</v>
      </c>
    </row>
    <row r="102" customFormat="false" ht="15" hidden="false" customHeight="false" outlineLevel="0" collapsed="false">
      <c r="A102" s="4" t="n">
        <v>101</v>
      </c>
      <c r="B102" s="4" t="s">
        <v>42</v>
      </c>
      <c r="C102" s="13" t="n">
        <v>46282.78125</v>
      </c>
      <c r="D102" s="13" t="n">
        <v>46282.9548611111</v>
      </c>
      <c r="E102" s="14" t="n">
        <v>5.06</v>
      </c>
      <c r="F102" s="4" t="n">
        <f aca="false">HOUR(C102)</f>
        <v>18</v>
      </c>
      <c r="G102" s="4" t="n">
        <f aca="false">WEEKDAY(C102,2)</f>
        <v>4</v>
      </c>
      <c r="H102" s="4" t="n">
        <f aca="false">IF(E102&gt;0,1,0)</f>
        <v>1</v>
      </c>
      <c r="I102" s="4" t="n">
        <f aca="false">ROUND((D102-C102)*1440,0)</f>
        <v>250</v>
      </c>
    </row>
    <row r="103" customFormat="false" ht="15" hidden="false" customHeight="false" outlineLevel="0" collapsed="false">
      <c r="A103" s="4" t="n">
        <v>102</v>
      </c>
      <c r="B103" s="4" t="s">
        <v>42</v>
      </c>
      <c r="C103" s="13" t="n">
        <v>46282.9826388889</v>
      </c>
      <c r="D103" s="13" t="n">
        <v>46283.0277777778</v>
      </c>
      <c r="E103" s="14" t="n">
        <v>4.77</v>
      </c>
      <c r="F103" s="4" t="n">
        <f aca="false">HOUR(C103)</f>
        <v>23</v>
      </c>
      <c r="G103" s="4" t="n">
        <f aca="false">WEEKDAY(C103,2)</f>
        <v>4</v>
      </c>
      <c r="H103" s="4" t="n">
        <f aca="false">IF(E103&gt;0,1,0)</f>
        <v>1</v>
      </c>
      <c r="I103" s="4" t="n">
        <f aca="false">ROUND((D103-C103)*1440,0)</f>
        <v>65</v>
      </c>
    </row>
    <row r="104" customFormat="false" ht="15" hidden="false" customHeight="false" outlineLevel="0" collapsed="false">
      <c r="A104" s="4" t="n">
        <v>103</v>
      </c>
      <c r="B104" s="4" t="s">
        <v>41</v>
      </c>
      <c r="C104" s="13" t="n">
        <v>46283.0902777778</v>
      </c>
      <c r="D104" s="13" t="n">
        <v>46283.1006944445</v>
      </c>
      <c r="E104" s="14" t="n">
        <v>-1.94</v>
      </c>
      <c r="F104" s="4" t="n">
        <f aca="false">HOUR(C104)</f>
        <v>2</v>
      </c>
      <c r="G104" s="4" t="n">
        <f aca="false">WEEKDAY(C104,2)</f>
        <v>5</v>
      </c>
      <c r="H104" s="4" t="n">
        <f aca="false">IF(E104&gt;0,1,0)</f>
        <v>0</v>
      </c>
      <c r="I104" s="4" t="n">
        <f aca="false">ROUND((D104-C104)*1440,0)</f>
        <v>15</v>
      </c>
    </row>
    <row r="105" customFormat="false" ht="15" hidden="false" customHeight="false" outlineLevel="0" collapsed="false">
      <c r="A105" s="4" t="n">
        <v>104</v>
      </c>
      <c r="B105" s="4" t="s">
        <v>41</v>
      </c>
      <c r="C105" s="13" t="n">
        <v>46283.15625</v>
      </c>
      <c r="D105" s="13" t="n">
        <v>46283.1631944445</v>
      </c>
      <c r="E105" s="14" t="n">
        <v>-2.89</v>
      </c>
      <c r="F105" s="4" t="n">
        <f aca="false">HOUR(C105)</f>
        <v>3</v>
      </c>
      <c r="G105" s="4" t="n">
        <f aca="false">WEEKDAY(C105,2)</f>
        <v>5</v>
      </c>
      <c r="H105" s="4" t="n">
        <f aca="false">IF(E105&gt;0,1,0)</f>
        <v>0</v>
      </c>
      <c r="I105" s="4" t="n">
        <f aca="false">ROUND((D105-C105)*1440,0)</f>
        <v>10</v>
      </c>
    </row>
    <row r="106" customFormat="false" ht="15" hidden="false" customHeight="false" outlineLevel="0" collapsed="false">
      <c r="A106" s="4" t="n">
        <v>105</v>
      </c>
      <c r="B106" s="4" t="s">
        <v>42</v>
      </c>
      <c r="C106" s="13" t="n">
        <v>46283.28125</v>
      </c>
      <c r="D106" s="13" t="n">
        <v>46283.2847222222</v>
      </c>
      <c r="E106" s="14" t="n">
        <v>-3.02</v>
      </c>
      <c r="F106" s="4" t="n">
        <f aca="false">HOUR(C106)</f>
        <v>6</v>
      </c>
      <c r="G106" s="4" t="n">
        <f aca="false">WEEKDAY(C106,2)</f>
        <v>5</v>
      </c>
      <c r="H106" s="4" t="n">
        <f aca="false">IF(E106&gt;0,1,0)</f>
        <v>0</v>
      </c>
      <c r="I106" s="4" t="n">
        <f aca="false">ROUND((D106-C106)*1440,0)</f>
        <v>5</v>
      </c>
    </row>
    <row r="107" customFormat="false" ht="15" hidden="false" customHeight="false" outlineLevel="0" collapsed="false">
      <c r="A107" s="4" t="n">
        <v>106</v>
      </c>
      <c r="B107" s="4" t="s">
        <v>41</v>
      </c>
      <c r="C107" s="13" t="n">
        <v>46283.2986111111</v>
      </c>
      <c r="D107" s="13" t="n">
        <v>46283.3368055556</v>
      </c>
      <c r="E107" s="14" t="n">
        <v>5.5</v>
      </c>
      <c r="F107" s="4" t="n">
        <f aca="false">HOUR(C107)</f>
        <v>7</v>
      </c>
      <c r="G107" s="4" t="n">
        <f aca="false">WEEKDAY(C107,2)</f>
        <v>5</v>
      </c>
      <c r="H107" s="4" t="n">
        <f aca="false">IF(E107&gt;0,1,0)</f>
        <v>1</v>
      </c>
      <c r="I107" s="4" t="n">
        <f aca="false">ROUND((D107-C107)*1440,0)</f>
        <v>55</v>
      </c>
    </row>
    <row r="108" customFormat="false" ht="15" hidden="false" customHeight="false" outlineLevel="0" collapsed="false">
      <c r="A108" s="4" t="n">
        <v>107</v>
      </c>
      <c r="B108" s="4" t="s">
        <v>42</v>
      </c>
      <c r="C108" s="13" t="n">
        <v>46283.3368055556</v>
      </c>
      <c r="D108" s="13" t="n">
        <v>46283.3368055556</v>
      </c>
      <c r="E108" s="14" t="n">
        <v>-3.48</v>
      </c>
      <c r="F108" s="4" t="n">
        <f aca="false">HOUR(C108)</f>
        <v>8</v>
      </c>
      <c r="G108" s="4" t="n">
        <f aca="false">WEEKDAY(C108,2)</f>
        <v>5</v>
      </c>
      <c r="H108" s="4" t="n">
        <f aca="false">IF(E108&gt;0,1,0)</f>
        <v>0</v>
      </c>
      <c r="I108" s="4" t="n">
        <f aca="false">ROUND((D108-C108)*1440,0)</f>
        <v>0</v>
      </c>
    </row>
    <row r="109" customFormat="false" ht="15" hidden="false" customHeight="false" outlineLevel="0" collapsed="false">
      <c r="A109" s="4" t="n">
        <v>108</v>
      </c>
      <c r="B109" s="4" t="s">
        <v>42</v>
      </c>
      <c r="C109" s="13" t="n">
        <v>46283.5208333333</v>
      </c>
      <c r="D109" s="13" t="n">
        <v>46283.6736111111</v>
      </c>
      <c r="E109" s="14" t="n">
        <v>21.45</v>
      </c>
      <c r="F109" s="4" t="n">
        <f aca="false">HOUR(C109)</f>
        <v>12</v>
      </c>
      <c r="G109" s="4" t="n">
        <f aca="false">WEEKDAY(C109,2)</f>
        <v>5</v>
      </c>
      <c r="H109" s="4" t="n">
        <f aca="false">IF(E109&gt;0,1,0)</f>
        <v>1</v>
      </c>
      <c r="I109" s="4" t="n">
        <f aca="false">ROUND((D109-C109)*1440,0)</f>
        <v>220</v>
      </c>
    </row>
    <row r="110" customFormat="false" ht="15" hidden="false" customHeight="false" outlineLevel="0" collapsed="false">
      <c r="A110" s="4" t="n">
        <v>109</v>
      </c>
      <c r="B110" s="4" t="s">
        <v>41</v>
      </c>
      <c r="C110" s="13" t="n">
        <v>46283.6944444445</v>
      </c>
      <c r="D110" s="13" t="n">
        <v>46285.7569444445</v>
      </c>
      <c r="E110" s="14" t="n">
        <v>-0.37</v>
      </c>
      <c r="F110" s="4" t="n">
        <f aca="false">HOUR(C110)</f>
        <v>16</v>
      </c>
      <c r="G110" s="4" t="n">
        <f aca="false">WEEKDAY(C110,2)</f>
        <v>5</v>
      </c>
      <c r="H110" s="4" t="n">
        <f aca="false">IF(E110&gt;0,1,0)</f>
        <v>0</v>
      </c>
      <c r="I110" s="4" t="n">
        <f aca="false">ROUND((D110-C110)*1440,0)</f>
        <v>2970</v>
      </c>
    </row>
    <row r="111" customFormat="false" ht="15" hidden="false" customHeight="false" outlineLevel="0" collapsed="false">
      <c r="A111" s="4" t="n">
        <v>110</v>
      </c>
      <c r="B111" s="4" t="s">
        <v>41</v>
      </c>
      <c r="C111" s="13" t="n">
        <v>46285.8229166667</v>
      </c>
      <c r="D111" s="13" t="n">
        <v>46285.8715277778</v>
      </c>
      <c r="E111" s="14" t="n">
        <v>-0.22</v>
      </c>
      <c r="F111" s="4" t="n">
        <f aca="false">HOUR(C111)</f>
        <v>19</v>
      </c>
      <c r="G111" s="4" t="n">
        <f aca="false">WEEKDAY(C111,2)</f>
        <v>7</v>
      </c>
      <c r="H111" s="4" t="n">
        <f aca="false">IF(E111&gt;0,1,0)</f>
        <v>0</v>
      </c>
      <c r="I111" s="4" t="n">
        <f aca="false">ROUND((D111-C111)*1440,0)</f>
        <v>70</v>
      </c>
    </row>
    <row r="112" customFormat="false" ht="15" hidden="false" customHeight="false" outlineLevel="0" collapsed="false">
      <c r="A112" s="4" t="n">
        <v>111</v>
      </c>
      <c r="B112" s="4" t="s">
        <v>42</v>
      </c>
      <c r="C112" s="13" t="n">
        <v>46285.8715277778</v>
      </c>
      <c r="D112" s="13" t="n">
        <v>46285.8958333333</v>
      </c>
      <c r="E112" s="14" t="n">
        <v>-0.35</v>
      </c>
      <c r="F112" s="4" t="n">
        <f aca="false">HOUR(C112)</f>
        <v>20</v>
      </c>
      <c r="G112" s="4" t="n">
        <f aca="false">WEEKDAY(C112,2)</f>
        <v>7</v>
      </c>
      <c r="H112" s="4" t="n">
        <f aca="false">IF(E112&gt;0,1,0)</f>
        <v>0</v>
      </c>
      <c r="I112" s="4" t="n">
        <f aca="false">ROUND((D112-C112)*1440,0)</f>
        <v>35</v>
      </c>
    </row>
    <row r="113" customFormat="false" ht="15" hidden="false" customHeight="false" outlineLevel="0" collapsed="false">
      <c r="A113" s="4" t="n">
        <v>112</v>
      </c>
      <c r="B113" s="4" t="s">
        <v>41</v>
      </c>
      <c r="C113" s="13" t="n">
        <v>46285.8958333333</v>
      </c>
      <c r="D113" s="13" t="n">
        <v>46285.9027777778</v>
      </c>
      <c r="E113" s="14" t="n">
        <v>-2.31</v>
      </c>
      <c r="F113" s="4" t="n">
        <f aca="false">HOUR(C113)</f>
        <v>21</v>
      </c>
      <c r="G113" s="4" t="n">
        <f aca="false">WEEKDAY(C113,2)</f>
        <v>7</v>
      </c>
      <c r="H113" s="4" t="n">
        <f aca="false">IF(E113&gt;0,1,0)</f>
        <v>0</v>
      </c>
      <c r="I113" s="4" t="n">
        <f aca="false">ROUND((D113-C113)*1440,0)</f>
        <v>10</v>
      </c>
    </row>
    <row r="114" customFormat="false" ht="15" hidden="false" customHeight="false" outlineLevel="0" collapsed="false">
      <c r="A114" s="4" t="n">
        <v>113</v>
      </c>
      <c r="B114" s="4" t="s">
        <v>42</v>
      </c>
      <c r="C114" s="13" t="n">
        <v>46285.9201388889</v>
      </c>
      <c r="D114" s="13" t="n">
        <v>46285.9305555556</v>
      </c>
      <c r="E114" s="14" t="n">
        <v>-2.32</v>
      </c>
      <c r="F114" s="4" t="n">
        <f aca="false">HOUR(C114)</f>
        <v>22</v>
      </c>
      <c r="G114" s="4" t="n">
        <f aca="false">WEEKDAY(C114,2)</f>
        <v>7</v>
      </c>
      <c r="H114" s="4" t="n">
        <f aca="false">IF(E114&gt;0,1,0)</f>
        <v>0</v>
      </c>
      <c r="I114" s="4" t="n">
        <f aca="false">ROUND((D114-C114)*1440,0)</f>
        <v>15</v>
      </c>
    </row>
    <row r="115" customFormat="false" ht="15" hidden="false" customHeight="false" outlineLevel="0" collapsed="false">
      <c r="A115" s="4" t="n">
        <v>114</v>
      </c>
      <c r="B115" s="4" t="s">
        <v>42</v>
      </c>
      <c r="C115" s="13" t="n">
        <v>46285.9722222222</v>
      </c>
      <c r="D115" s="13" t="n">
        <v>46286.0208333333</v>
      </c>
      <c r="E115" s="14" t="n">
        <v>1.75</v>
      </c>
      <c r="F115" s="4" t="n">
        <f aca="false">HOUR(C115)</f>
        <v>23</v>
      </c>
      <c r="G115" s="4" t="n">
        <f aca="false">WEEKDAY(C115,2)</f>
        <v>7</v>
      </c>
      <c r="H115" s="4" t="n">
        <f aca="false">IF(E115&gt;0,1,0)</f>
        <v>1</v>
      </c>
      <c r="I115" s="4" t="n">
        <f aca="false">ROUND((D115-C115)*1440,0)</f>
        <v>70</v>
      </c>
    </row>
    <row r="116" customFormat="false" ht="15" hidden="false" customHeight="false" outlineLevel="0" collapsed="false">
      <c r="A116" s="4" t="n">
        <v>115</v>
      </c>
      <c r="B116" s="4" t="s">
        <v>41</v>
      </c>
      <c r="C116" s="13" t="n">
        <v>46286.0208333333</v>
      </c>
      <c r="D116" s="13" t="n">
        <v>46286.0659722222</v>
      </c>
      <c r="E116" s="14" t="n">
        <v>-1.4</v>
      </c>
      <c r="F116" s="4" t="n">
        <f aca="false">HOUR(C116)</f>
        <v>0</v>
      </c>
      <c r="G116" s="4" t="n">
        <f aca="false">WEEKDAY(C116,2)</f>
        <v>1</v>
      </c>
      <c r="H116" s="4" t="n">
        <f aca="false">IF(E116&gt;0,1,0)</f>
        <v>0</v>
      </c>
      <c r="I116" s="4" t="n">
        <f aca="false">ROUND((D116-C116)*1440,0)</f>
        <v>65</v>
      </c>
    </row>
    <row r="117" customFormat="false" ht="15" hidden="false" customHeight="false" outlineLevel="0" collapsed="false">
      <c r="A117" s="4" t="n">
        <v>116</v>
      </c>
      <c r="B117" s="4" t="s">
        <v>42</v>
      </c>
      <c r="C117" s="13" t="n">
        <v>46286.1076388889</v>
      </c>
      <c r="D117" s="13" t="n">
        <v>46286.125</v>
      </c>
      <c r="E117" s="14" t="n">
        <v>5.74</v>
      </c>
      <c r="F117" s="4" t="n">
        <f aca="false">HOUR(C117)</f>
        <v>2</v>
      </c>
      <c r="G117" s="4" t="n">
        <f aca="false">WEEKDAY(C117,2)</f>
        <v>1</v>
      </c>
      <c r="H117" s="4" t="n">
        <f aca="false">IF(E117&gt;0,1,0)</f>
        <v>1</v>
      </c>
      <c r="I117" s="4" t="n">
        <f aca="false">ROUND((D117-C117)*1440,0)</f>
        <v>25</v>
      </c>
    </row>
    <row r="118" customFormat="false" ht="15" hidden="false" customHeight="false" outlineLevel="0" collapsed="false">
      <c r="A118" s="4" t="n">
        <v>117</v>
      </c>
      <c r="B118" s="4" t="s">
        <v>42</v>
      </c>
      <c r="C118" s="13" t="n">
        <v>46286.1979166667</v>
      </c>
      <c r="D118" s="13" t="n">
        <v>46286.2013888889</v>
      </c>
      <c r="E118" s="14" t="n">
        <v>-2.85</v>
      </c>
      <c r="F118" s="4" t="n">
        <f aca="false">HOUR(C118)</f>
        <v>4</v>
      </c>
      <c r="G118" s="4" t="n">
        <f aca="false">WEEKDAY(C118,2)</f>
        <v>1</v>
      </c>
      <c r="H118" s="4" t="n">
        <f aca="false">IF(E118&gt;0,1,0)</f>
        <v>0</v>
      </c>
      <c r="I118" s="4" t="n">
        <f aca="false">ROUND((D118-C118)*1440,0)</f>
        <v>5</v>
      </c>
    </row>
    <row r="119" customFormat="false" ht="15" hidden="false" customHeight="false" outlineLevel="0" collapsed="false">
      <c r="A119" s="4" t="n">
        <v>118</v>
      </c>
      <c r="B119" s="4" t="s">
        <v>42</v>
      </c>
      <c r="C119" s="13" t="n">
        <v>46286.3229166667</v>
      </c>
      <c r="D119" s="13" t="n">
        <v>46286.3333333333</v>
      </c>
      <c r="E119" s="14" t="n">
        <v>-2.84</v>
      </c>
      <c r="F119" s="4" t="n">
        <f aca="false">HOUR(C119)</f>
        <v>7</v>
      </c>
      <c r="G119" s="4" t="n">
        <f aca="false">WEEKDAY(C119,2)</f>
        <v>1</v>
      </c>
      <c r="H119" s="4" t="n">
        <f aca="false">IF(E119&gt;0,1,0)</f>
        <v>0</v>
      </c>
      <c r="I119" s="4" t="n">
        <f aca="false">ROUND((D119-C119)*1440,0)</f>
        <v>15</v>
      </c>
    </row>
    <row r="120" customFormat="false" ht="15" hidden="false" customHeight="false" outlineLevel="0" collapsed="false">
      <c r="A120" s="4" t="n">
        <v>119</v>
      </c>
      <c r="B120" s="4" t="s">
        <v>41</v>
      </c>
      <c r="C120" s="13" t="n">
        <v>46286.34375</v>
      </c>
      <c r="D120" s="13" t="n">
        <v>46286.3611111111</v>
      </c>
      <c r="E120" s="14" t="n">
        <v>-3.16</v>
      </c>
      <c r="F120" s="4" t="n">
        <f aca="false">HOUR(C120)</f>
        <v>8</v>
      </c>
      <c r="G120" s="4" t="n">
        <f aca="false">WEEKDAY(C120,2)</f>
        <v>1</v>
      </c>
      <c r="H120" s="4" t="n">
        <f aca="false">IF(E120&gt;0,1,0)</f>
        <v>0</v>
      </c>
      <c r="I120" s="4" t="n">
        <f aca="false">ROUND((D120-C120)*1440,0)</f>
        <v>25</v>
      </c>
    </row>
    <row r="121" customFormat="false" ht="15" hidden="false" customHeight="false" outlineLevel="0" collapsed="false">
      <c r="A121" s="4" t="n">
        <v>120</v>
      </c>
      <c r="B121" s="4" t="s">
        <v>41</v>
      </c>
      <c r="C121" s="13" t="n">
        <v>46286.3680555556</v>
      </c>
      <c r="D121" s="13" t="n">
        <v>46286.3958333333</v>
      </c>
      <c r="E121" s="14" t="n">
        <v>10.85</v>
      </c>
      <c r="F121" s="4" t="n">
        <f aca="false">HOUR(C121)</f>
        <v>8</v>
      </c>
      <c r="G121" s="4" t="n">
        <f aca="false">WEEKDAY(C121,2)</f>
        <v>1</v>
      </c>
      <c r="H121" s="4" t="n">
        <f aca="false">IF(E121&gt;0,1,0)</f>
        <v>1</v>
      </c>
      <c r="I121" s="4" t="n">
        <f aca="false">ROUND((D121-C121)*1440,0)</f>
        <v>40</v>
      </c>
    </row>
    <row r="122" customFormat="false" ht="15" hidden="false" customHeight="false" outlineLevel="0" collapsed="false">
      <c r="A122" s="4" t="n">
        <v>121</v>
      </c>
      <c r="B122" s="4" t="s">
        <v>41</v>
      </c>
      <c r="C122" s="13" t="n">
        <v>46286.3993055556</v>
      </c>
      <c r="D122" s="13" t="n">
        <v>46286.4652777778</v>
      </c>
      <c r="E122" s="14" t="n">
        <v>0.3</v>
      </c>
      <c r="F122" s="4" t="n">
        <f aca="false">HOUR(C122)</f>
        <v>9</v>
      </c>
      <c r="G122" s="4" t="n">
        <f aca="false">WEEKDAY(C122,2)</f>
        <v>1</v>
      </c>
      <c r="H122" s="4" t="n">
        <f aca="false">IF(E122&gt;0,1,0)</f>
        <v>1</v>
      </c>
      <c r="I122" s="4" t="n">
        <f aca="false">ROUND((D122-C122)*1440,0)</f>
        <v>95</v>
      </c>
    </row>
    <row r="123" customFormat="false" ht="15" hidden="false" customHeight="false" outlineLevel="0" collapsed="false">
      <c r="A123" s="4" t="n">
        <v>122</v>
      </c>
      <c r="B123" s="4" t="s">
        <v>42</v>
      </c>
      <c r="C123" s="13" t="n">
        <v>46286.4652777778</v>
      </c>
      <c r="D123" s="13" t="n">
        <v>46286.4791666667</v>
      </c>
      <c r="E123" s="14" t="n">
        <v>-1.42</v>
      </c>
      <c r="F123" s="4" t="n">
        <f aca="false">HOUR(C123)</f>
        <v>11</v>
      </c>
      <c r="G123" s="4" t="n">
        <f aca="false">WEEKDAY(C123,2)</f>
        <v>1</v>
      </c>
      <c r="H123" s="4" t="n">
        <f aca="false">IF(E123&gt;0,1,0)</f>
        <v>0</v>
      </c>
      <c r="I123" s="4" t="n">
        <f aca="false">ROUND((D123-C123)*1440,0)</f>
        <v>20</v>
      </c>
    </row>
    <row r="124" customFormat="false" ht="15" hidden="false" customHeight="false" outlineLevel="0" collapsed="false">
      <c r="A124" s="4" t="n">
        <v>123</v>
      </c>
      <c r="B124" s="4" t="s">
        <v>41</v>
      </c>
      <c r="C124" s="13" t="n">
        <v>46286.4791666667</v>
      </c>
      <c r="D124" s="13" t="n">
        <v>46286.4895833333</v>
      </c>
      <c r="E124" s="14" t="n">
        <v>-6.21</v>
      </c>
      <c r="F124" s="4" t="n">
        <f aca="false">HOUR(C124)</f>
        <v>11</v>
      </c>
      <c r="G124" s="4" t="n">
        <f aca="false">WEEKDAY(C124,2)</f>
        <v>1</v>
      </c>
      <c r="H124" s="4" t="n">
        <f aca="false">IF(E124&gt;0,1,0)</f>
        <v>0</v>
      </c>
      <c r="I124" s="4" t="n">
        <f aca="false">ROUND((D124-C124)*1440,0)</f>
        <v>15</v>
      </c>
    </row>
    <row r="125" customFormat="false" ht="15" hidden="false" customHeight="false" outlineLevel="0" collapsed="false">
      <c r="A125" s="4" t="n">
        <v>124</v>
      </c>
      <c r="B125" s="4" t="s">
        <v>42</v>
      </c>
      <c r="C125" s="13" t="n">
        <v>46286.5034722222</v>
      </c>
      <c r="D125" s="13" t="n">
        <v>46286.6631944445</v>
      </c>
      <c r="E125" s="14" t="n">
        <v>13.73</v>
      </c>
      <c r="F125" s="4" t="n">
        <f aca="false">HOUR(C125)</f>
        <v>12</v>
      </c>
      <c r="G125" s="4" t="n">
        <f aca="false">WEEKDAY(C125,2)</f>
        <v>1</v>
      </c>
      <c r="H125" s="4" t="n">
        <f aca="false">IF(E125&gt;0,1,0)</f>
        <v>1</v>
      </c>
      <c r="I125" s="4" t="n">
        <f aca="false">ROUND((D125-C125)*1440,0)</f>
        <v>230</v>
      </c>
    </row>
    <row r="126" customFormat="false" ht="15" hidden="false" customHeight="false" outlineLevel="0" collapsed="false">
      <c r="A126" s="4" t="n">
        <v>125</v>
      </c>
      <c r="B126" s="4" t="s">
        <v>41</v>
      </c>
      <c r="C126" s="13" t="n">
        <v>46286.6631944445</v>
      </c>
      <c r="D126" s="13" t="n">
        <v>46286.7569444445</v>
      </c>
      <c r="E126" s="14" t="n">
        <v>-0.73</v>
      </c>
      <c r="F126" s="4" t="n">
        <f aca="false">HOUR(C126)</f>
        <v>15</v>
      </c>
      <c r="G126" s="4" t="n">
        <f aca="false">WEEKDAY(C126,2)</f>
        <v>1</v>
      </c>
      <c r="H126" s="4" t="n">
        <f aca="false">IF(E126&gt;0,1,0)</f>
        <v>0</v>
      </c>
      <c r="I126" s="4" t="n">
        <f aca="false">ROUND((D126-C126)*1440,0)</f>
        <v>135</v>
      </c>
    </row>
    <row r="127" customFormat="false" ht="15" hidden="false" customHeight="false" outlineLevel="0" collapsed="false">
      <c r="A127" s="4" t="n">
        <v>126</v>
      </c>
      <c r="B127" s="4" t="s">
        <v>42</v>
      </c>
      <c r="C127" s="13" t="n">
        <v>46286.7777777778</v>
      </c>
      <c r="D127" s="13" t="n">
        <v>46286.8263888889</v>
      </c>
      <c r="E127" s="14" t="n">
        <v>-2.15</v>
      </c>
      <c r="F127" s="4" t="n">
        <f aca="false">HOUR(C127)</f>
        <v>18</v>
      </c>
      <c r="G127" s="4" t="n">
        <f aca="false">WEEKDAY(C127,2)</f>
        <v>1</v>
      </c>
      <c r="H127" s="4" t="n">
        <f aca="false">IF(E127&gt;0,1,0)</f>
        <v>0</v>
      </c>
      <c r="I127" s="4" t="n">
        <f aca="false">ROUND((D127-C127)*1440,0)</f>
        <v>70</v>
      </c>
    </row>
    <row r="128" customFormat="false" ht="15" hidden="false" customHeight="false" outlineLevel="0" collapsed="false">
      <c r="A128" s="4" t="n">
        <v>127</v>
      </c>
      <c r="B128" s="4" t="s">
        <v>41</v>
      </c>
      <c r="C128" s="13" t="n">
        <v>46286.8576388889</v>
      </c>
      <c r="D128" s="13" t="n">
        <v>46286.9236111111</v>
      </c>
      <c r="E128" s="14" t="n">
        <v>1.75</v>
      </c>
      <c r="F128" s="4" t="n">
        <f aca="false">HOUR(C128)</f>
        <v>20</v>
      </c>
      <c r="G128" s="4" t="n">
        <f aca="false">WEEKDAY(C128,2)</f>
        <v>1</v>
      </c>
      <c r="H128" s="4" t="n">
        <f aca="false">IF(E128&gt;0,1,0)</f>
        <v>1</v>
      </c>
      <c r="I128" s="4" t="n">
        <f aca="false">ROUND((D128-C128)*1440,0)</f>
        <v>95</v>
      </c>
    </row>
    <row r="129" customFormat="false" ht="15" hidden="false" customHeight="false" outlineLevel="0" collapsed="false">
      <c r="A129" s="4" t="n">
        <v>128</v>
      </c>
      <c r="B129" s="4" t="s">
        <v>42</v>
      </c>
      <c r="C129" s="13" t="n">
        <v>46286.9236111111</v>
      </c>
      <c r="D129" s="13" t="n">
        <v>46286.9270833333</v>
      </c>
      <c r="E129" s="14" t="n">
        <v>-1.97</v>
      </c>
      <c r="F129" s="4" t="n">
        <f aca="false">HOUR(C129)</f>
        <v>22</v>
      </c>
      <c r="G129" s="4" t="n">
        <f aca="false">WEEKDAY(C129,2)</f>
        <v>1</v>
      </c>
      <c r="H129" s="4" t="n">
        <f aca="false">IF(E129&gt;0,1,0)</f>
        <v>0</v>
      </c>
      <c r="I129" s="4" t="n">
        <f aca="false">ROUND((D129-C129)*1440,0)</f>
        <v>5</v>
      </c>
    </row>
    <row r="130" customFormat="false" ht="15" hidden="false" customHeight="false" outlineLevel="0" collapsed="false">
      <c r="A130" s="4" t="n">
        <v>129</v>
      </c>
      <c r="B130" s="4" t="s">
        <v>41</v>
      </c>
      <c r="C130" s="13" t="n">
        <v>46286.9548611111</v>
      </c>
      <c r="D130" s="13" t="n">
        <v>46287</v>
      </c>
      <c r="E130" s="14" t="n">
        <v>-1.82</v>
      </c>
      <c r="F130" s="4" t="n">
        <f aca="false">HOUR(C130)</f>
        <v>22</v>
      </c>
      <c r="G130" s="4" t="n">
        <f aca="false">WEEKDAY(C130,2)</f>
        <v>1</v>
      </c>
      <c r="H130" s="4" t="n">
        <f aca="false">IF(E130&gt;0,1,0)</f>
        <v>0</v>
      </c>
      <c r="I130" s="4" t="n">
        <f aca="false">ROUND((D130-C130)*1440,0)</f>
        <v>65</v>
      </c>
    </row>
    <row r="131" customFormat="false" ht="15" hidden="false" customHeight="false" outlineLevel="0" collapsed="false">
      <c r="A131" s="4" t="n">
        <v>130</v>
      </c>
      <c r="B131" s="4" t="s">
        <v>41</v>
      </c>
      <c r="C131" s="13" t="n">
        <v>46287.0868055556</v>
      </c>
      <c r="D131" s="13" t="n">
        <v>46287.0902777778</v>
      </c>
      <c r="E131" s="14" t="n">
        <v>-2.1</v>
      </c>
      <c r="F131" s="4" t="n">
        <f aca="false">HOUR(C131)</f>
        <v>2</v>
      </c>
      <c r="G131" s="4" t="n">
        <f aca="false">WEEKDAY(C131,2)</f>
        <v>2</v>
      </c>
      <c r="H131" s="4" t="n">
        <f aca="false">IF(E131&gt;0,1,0)</f>
        <v>0</v>
      </c>
      <c r="I131" s="4" t="n">
        <f aca="false">ROUND((D131-C131)*1440,0)</f>
        <v>5</v>
      </c>
    </row>
    <row r="132" customFormat="false" ht="15" hidden="false" customHeight="false" outlineLevel="0" collapsed="false">
      <c r="A132" s="4" t="n">
        <v>131</v>
      </c>
      <c r="B132" s="4" t="s">
        <v>41</v>
      </c>
      <c r="C132" s="13" t="n">
        <v>46287.1319444445</v>
      </c>
      <c r="D132" s="13" t="n">
        <v>46287.1631944445</v>
      </c>
      <c r="E132" s="14" t="n">
        <v>11.84</v>
      </c>
      <c r="F132" s="4" t="n">
        <f aca="false">HOUR(C132)</f>
        <v>3</v>
      </c>
      <c r="G132" s="4" t="n">
        <f aca="false">WEEKDAY(C132,2)</f>
        <v>2</v>
      </c>
      <c r="H132" s="4" t="n">
        <f aca="false">IF(E132&gt;0,1,0)</f>
        <v>1</v>
      </c>
      <c r="I132" s="4" t="n">
        <f aca="false">ROUND((D132-C132)*1440,0)</f>
        <v>45</v>
      </c>
    </row>
    <row r="133" customFormat="false" ht="15" hidden="false" customHeight="false" outlineLevel="0" collapsed="false">
      <c r="A133" s="4" t="n">
        <v>132</v>
      </c>
      <c r="B133" s="4" t="s">
        <v>42</v>
      </c>
      <c r="C133" s="13" t="n">
        <v>46287.2465277778</v>
      </c>
      <c r="D133" s="13" t="n">
        <v>46287.2465277778</v>
      </c>
      <c r="E133" s="14" t="n">
        <v>-5.72</v>
      </c>
      <c r="F133" s="4" t="n">
        <f aca="false">HOUR(C133)</f>
        <v>5</v>
      </c>
      <c r="G133" s="4" t="n">
        <f aca="false">WEEKDAY(C133,2)</f>
        <v>2</v>
      </c>
      <c r="H133" s="4" t="n">
        <f aca="false">IF(E133&gt;0,1,0)</f>
        <v>0</v>
      </c>
      <c r="I133" s="4" t="n">
        <f aca="false">ROUND((D133-C133)*1440,0)</f>
        <v>0</v>
      </c>
    </row>
    <row r="134" customFormat="false" ht="15" hidden="false" customHeight="false" outlineLevel="0" collapsed="false">
      <c r="A134" s="4" t="n">
        <v>133</v>
      </c>
      <c r="B134" s="4" t="s">
        <v>42</v>
      </c>
      <c r="C134" s="13" t="n">
        <v>46287.3576388889</v>
      </c>
      <c r="D134" s="13" t="n">
        <v>46287.3680555556</v>
      </c>
      <c r="E134" s="14" t="n">
        <v>-4.55</v>
      </c>
      <c r="F134" s="4" t="n">
        <f aca="false">HOUR(C134)</f>
        <v>8</v>
      </c>
      <c r="G134" s="4" t="n">
        <f aca="false">WEEKDAY(C134,2)</f>
        <v>2</v>
      </c>
      <c r="H134" s="4" t="n">
        <f aca="false">IF(E134&gt;0,1,0)</f>
        <v>0</v>
      </c>
      <c r="I134" s="4" t="n">
        <f aca="false">ROUND((D134-C134)*1440,0)</f>
        <v>15</v>
      </c>
    </row>
    <row r="135" customFormat="false" ht="15" hidden="false" customHeight="false" outlineLevel="0" collapsed="false">
      <c r="A135" s="4" t="n">
        <v>134</v>
      </c>
      <c r="B135" s="4" t="s">
        <v>41</v>
      </c>
      <c r="C135" s="13" t="n">
        <v>46287.3715277778</v>
      </c>
      <c r="D135" s="13" t="n">
        <v>46287.375</v>
      </c>
      <c r="E135" s="14" t="n">
        <v>-4.74</v>
      </c>
      <c r="F135" s="4" t="n">
        <f aca="false">HOUR(C135)</f>
        <v>8</v>
      </c>
      <c r="G135" s="4" t="n">
        <f aca="false">WEEKDAY(C135,2)</f>
        <v>2</v>
      </c>
      <c r="H135" s="4" t="n">
        <f aca="false">IF(E135&gt;0,1,0)</f>
        <v>0</v>
      </c>
      <c r="I135" s="4" t="n">
        <f aca="false">ROUND((D135-C135)*1440,0)</f>
        <v>5</v>
      </c>
    </row>
    <row r="136" customFormat="false" ht="15" hidden="false" customHeight="false" outlineLevel="0" collapsed="false">
      <c r="A136" s="4" t="n">
        <v>135</v>
      </c>
      <c r="B136" s="4" t="s">
        <v>42</v>
      </c>
      <c r="C136" s="13" t="n">
        <v>46287.3784722222</v>
      </c>
      <c r="D136" s="13" t="n">
        <v>46287.3923611111</v>
      </c>
      <c r="E136" s="14" t="n">
        <v>-5.55</v>
      </c>
      <c r="F136" s="4" t="n">
        <f aca="false">HOUR(C136)</f>
        <v>9</v>
      </c>
      <c r="G136" s="4" t="n">
        <f aca="false">WEEKDAY(C136,2)</f>
        <v>2</v>
      </c>
      <c r="H136" s="4" t="n">
        <f aca="false">IF(E136&gt;0,1,0)</f>
        <v>0</v>
      </c>
      <c r="I136" s="4" t="n">
        <f aca="false">ROUND((D136-C136)*1440,0)</f>
        <v>20</v>
      </c>
    </row>
    <row r="137" customFormat="false" ht="15" hidden="false" customHeight="false" outlineLevel="0" collapsed="false">
      <c r="A137" s="4" t="n">
        <v>136</v>
      </c>
      <c r="B137" s="4" t="s">
        <v>41</v>
      </c>
      <c r="C137" s="13" t="n">
        <v>46287.3993055556</v>
      </c>
      <c r="D137" s="13" t="n">
        <v>46287.4236111111</v>
      </c>
      <c r="E137" s="14" t="n">
        <v>23.35</v>
      </c>
      <c r="F137" s="4" t="n">
        <f aca="false">HOUR(C137)</f>
        <v>9</v>
      </c>
      <c r="G137" s="4" t="n">
        <f aca="false">WEEKDAY(C137,2)</f>
        <v>2</v>
      </c>
      <c r="H137" s="4" t="n">
        <f aca="false">IF(E137&gt;0,1,0)</f>
        <v>1</v>
      </c>
      <c r="I137" s="4" t="n">
        <f aca="false">ROUND((D137-C137)*1440,0)</f>
        <v>35</v>
      </c>
    </row>
    <row r="138" customFormat="false" ht="15" hidden="false" customHeight="false" outlineLevel="0" collapsed="false">
      <c r="A138" s="4" t="n">
        <v>137</v>
      </c>
      <c r="B138" s="4" t="s">
        <v>42</v>
      </c>
      <c r="C138" s="13" t="n">
        <v>46287.5555555556</v>
      </c>
      <c r="D138" s="13" t="n">
        <v>46287.6631944445</v>
      </c>
      <c r="E138" s="14" t="n">
        <v>11.07</v>
      </c>
      <c r="F138" s="4" t="n">
        <f aca="false">HOUR(C138)</f>
        <v>13</v>
      </c>
      <c r="G138" s="4" t="n">
        <f aca="false">WEEKDAY(C138,2)</f>
        <v>2</v>
      </c>
      <c r="H138" s="4" t="n">
        <f aca="false">IF(E138&gt;0,1,0)</f>
        <v>1</v>
      </c>
      <c r="I138" s="4" t="n">
        <f aca="false">ROUND((D138-C138)*1440,0)</f>
        <v>155</v>
      </c>
    </row>
    <row r="139" customFormat="false" ht="15" hidden="false" customHeight="false" outlineLevel="0" collapsed="false">
      <c r="A139" s="4" t="n">
        <v>138</v>
      </c>
      <c r="B139" s="4" t="s">
        <v>42</v>
      </c>
      <c r="C139" s="13" t="n">
        <v>46287.6875</v>
      </c>
      <c r="D139" s="13" t="n">
        <v>46287.7013888889</v>
      </c>
      <c r="E139" s="14" t="n">
        <v>-1.02</v>
      </c>
      <c r="F139" s="4" t="n">
        <f aca="false">HOUR(C139)</f>
        <v>16</v>
      </c>
      <c r="G139" s="4" t="n">
        <f aca="false">WEEKDAY(C139,2)</f>
        <v>2</v>
      </c>
      <c r="H139" s="4" t="n">
        <f aca="false">IF(E139&gt;0,1,0)</f>
        <v>0</v>
      </c>
      <c r="I139" s="4" t="n">
        <f aca="false">ROUND((D139-C139)*1440,0)</f>
        <v>20</v>
      </c>
    </row>
    <row r="140" customFormat="false" ht="15" hidden="false" customHeight="false" outlineLevel="0" collapsed="false">
      <c r="A140" s="4" t="n">
        <v>139</v>
      </c>
      <c r="B140" s="4" t="s">
        <v>41</v>
      </c>
      <c r="C140" s="13" t="n">
        <v>46287.7013888889</v>
      </c>
      <c r="D140" s="13" t="n">
        <v>46287.7743055556</v>
      </c>
      <c r="E140" s="14" t="n">
        <v>-0.54</v>
      </c>
      <c r="F140" s="4" t="n">
        <f aca="false">HOUR(C140)</f>
        <v>16</v>
      </c>
      <c r="G140" s="4" t="n">
        <f aca="false">WEEKDAY(C140,2)</f>
        <v>2</v>
      </c>
      <c r="H140" s="4" t="n">
        <f aca="false">IF(E140&gt;0,1,0)</f>
        <v>0</v>
      </c>
      <c r="I140" s="4" t="n">
        <f aca="false">ROUND((D140-C140)*1440,0)</f>
        <v>105</v>
      </c>
    </row>
    <row r="141" customFormat="false" ht="15" hidden="false" customHeight="false" outlineLevel="0" collapsed="false">
      <c r="A141" s="4" t="n">
        <v>140</v>
      </c>
      <c r="B141" s="4" t="s">
        <v>42</v>
      </c>
      <c r="C141" s="13" t="n">
        <v>46287.7743055556</v>
      </c>
      <c r="D141" s="13" t="n">
        <v>46287.7881944445</v>
      </c>
      <c r="E141" s="14" t="n">
        <v>0.28</v>
      </c>
      <c r="F141" s="4" t="n">
        <f aca="false">HOUR(C141)</f>
        <v>18</v>
      </c>
      <c r="G141" s="4" t="n">
        <f aca="false">WEEKDAY(C141,2)</f>
        <v>2</v>
      </c>
      <c r="H141" s="4" t="n">
        <f aca="false">IF(E141&gt;0,1,0)</f>
        <v>1</v>
      </c>
      <c r="I141" s="4" t="n">
        <f aca="false">ROUND((D141-C141)*1440,0)</f>
        <v>20</v>
      </c>
    </row>
    <row r="142" customFormat="false" ht="15" hidden="false" customHeight="false" outlineLevel="0" collapsed="false">
      <c r="A142" s="4" t="n">
        <v>141</v>
      </c>
      <c r="B142" s="4" t="s">
        <v>41</v>
      </c>
      <c r="C142" s="13" t="n">
        <v>46287.7881944445</v>
      </c>
      <c r="D142" s="13" t="n">
        <v>46287.8020833333</v>
      </c>
      <c r="E142" s="14" t="n">
        <v>0.25</v>
      </c>
      <c r="F142" s="4" t="n">
        <f aca="false">HOUR(C142)</f>
        <v>18</v>
      </c>
      <c r="G142" s="4" t="n">
        <f aca="false">WEEKDAY(C142,2)</f>
        <v>2</v>
      </c>
      <c r="H142" s="4" t="n">
        <f aca="false">IF(E142&gt;0,1,0)</f>
        <v>1</v>
      </c>
      <c r="I142" s="4" t="n">
        <f aca="false">ROUND((D142-C142)*1440,0)</f>
        <v>20</v>
      </c>
    </row>
    <row r="143" customFormat="false" ht="15" hidden="false" customHeight="false" outlineLevel="0" collapsed="false">
      <c r="A143" s="4" t="n">
        <v>142</v>
      </c>
      <c r="B143" s="4" t="s">
        <v>42</v>
      </c>
      <c r="C143" s="13" t="n">
        <v>46287.8020833333</v>
      </c>
      <c r="D143" s="13" t="n">
        <v>46287.8715277778</v>
      </c>
      <c r="E143" s="14" t="n">
        <v>-1.27</v>
      </c>
      <c r="F143" s="4" t="n">
        <f aca="false">HOUR(C143)</f>
        <v>19</v>
      </c>
      <c r="G143" s="4" t="n">
        <f aca="false">WEEKDAY(C143,2)</f>
        <v>2</v>
      </c>
      <c r="H143" s="4" t="n">
        <f aca="false">IF(E143&gt;0,1,0)</f>
        <v>0</v>
      </c>
      <c r="I143" s="4" t="n">
        <f aca="false">ROUND((D143-C143)*1440,0)</f>
        <v>100</v>
      </c>
    </row>
    <row r="144" customFormat="false" ht="15" hidden="false" customHeight="false" outlineLevel="0" collapsed="false">
      <c r="A144" s="4" t="n">
        <v>143</v>
      </c>
      <c r="B144" s="4" t="s">
        <v>41</v>
      </c>
      <c r="C144" s="13" t="n">
        <v>46287.8715277778</v>
      </c>
      <c r="D144" s="13" t="n">
        <v>46287.8888888889</v>
      </c>
      <c r="E144" s="14" t="n">
        <v>-1.71</v>
      </c>
      <c r="F144" s="4" t="n">
        <f aca="false">HOUR(C144)</f>
        <v>20</v>
      </c>
      <c r="G144" s="4" t="n">
        <f aca="false">WEEKDAY(C144,2)</f>
        <v>2</v>
      </c>
      <c r="H144" s="4" t="n">
        <f aca="false">IF(E144&gt;0,1,0)</f>
        <v>0</v>
      </c>
      <c r="I144" s="4" t="n">
        <f aca="false">ROUND((D144-C144)*1440,0)</f>
        <v>25</v>
      </c>
    </row>
    <row r="145" customFormat="false" ht="15" hidden="false" customHeight="false" outlineLevel="0" collapsed="false">
      <c r="A145" s="4" t="n">
        <v>144</v>
      </c>
      <c r="B145" s="4" t="s">
        <v>42</v>
      </c>
      <c r="C145" s="13" t="n">
        <v>46287.9826388889</v>
      </c>
      <c r="D145" s="13" t="n">
        <v>46288.0555555556</v>
      </c>
      <c r="E145" s="14" t="n">
        <v>-0.05</v>
      </c>
      <c r="F145" s="4" t="n">
        <f aca="false">HOUR(C145)</f>
        <v>23</v>
      </c>
      <c r="G145" s="4" t="n">
        <f aca="false">WEEKDAY(C145,2)</f>
        <v>2</v>
      </c>
      <c r="H145" s="4" t="n">
        <f aca="false">IF(E145&gt;0,1,0)</f>
        <v>0</v>
      </c>
      <c r="I145" s="4" t="n">
        <f aca="false">ROUND((D145-C145)*1440,0)</f>
        <v>105</v>
      </c>
    </row>
    <row r="146" customFormat="false" ht="15" hidden="false" customHeight="false" outlineLevel="0" collapsed="false">
      <c r="A146" s="4" t="n">
        <v>145</v>
      </c>
      <c r="B146" s="4" t="s">
        <v>41</v>
      </c>
      <c r="C146" s="13" t="n">
        <v>46288.0555555556</v>
      </c>
      <c r="D146" s="13" t="n">
        <v>46288.0972222222</v>
      </c>
      <c r="E146" s="14" t="n">
        <v>3.93</v>
      </c>
      <c r="F146" s="4" t="n">
        <f aca="false">HOUR(C146)</f>
        <v>1</v>
      </c>
      <c r="G146" s="4" t="n">
        <f aca="false">WEEKDAY(C146,2)</f>
        <v>3</v>
      </c>
      <c r="H146" s="4" t="n">
        <f aca="false">IF(E146&gt;0,1,0)</f>
        <v>1</v>
      </c>
      <c r="I146" s="4" t="n">
        <f aca="false">ROUND((D146-C146)*1440,0)</f>
        <v>60</v>
      </c>
    </row>
    <row r="147" customFormat="false" ht="15" hidden="false" customHeight="false" outlineLevel="0" collapsed="false">
      <c r="A147" s="4" t="n">
        <v>146</v>
      </c>
      <c r="B147" s="4" t="s">
        <v>42</v>
      </c>
      <c r="C147" s="13" t="n">
        <v>46288.1111111111</v>
      </c>
      <c r="D147" s="13" t="n">
        <v>46288.1215277778</v>
      </c>
      <c r="E147" s="14" t="n">
        <v>-2.2</v>
      </c>
      <c r="F147" s="4" t="n">
        <f aca="false">HOUR(C147)</f>
        <v>2</v>
      </c>
      <c r="G147" s="4" t="n">
        <f aca="false">WEEKDAY(C147,2)</f>
        <v>3</v>
      </c>
      <c r="H147" s="4" t="n">
        <f aca="false">IF(E147&gt;0,1,0)</f>
        <v>0</v>
      </c>
      <c r="I147" s="4" t="n">
        <f aca="false">ROUND((D147-C147)*1440,0)</f>
        <v>15</v>
      </c>
    </row>
    <row r="148" customFormat="false" ht="15" hidden="false" customHeight="false" outlineLevel="0" collapsed="false">
      <c r="A148" s="4" t="n">
        <v>147</v>
      </c>
      <c r="B148" s="4" t="s">
        <v>42</v>
      </c>
      <c r="C148" s="13" t="n">
        <v>46288.1458333333</v>
      </c>
      <c r="D148" s="13" t="n">
        <v>46288.1944444445</v>
      </c>
      <c r="E148" s="14" t="n">
        <v>-2.57</v>
      </c>
      <c r="F148" s="4" t="n">
        <f aca="false">HOUR(C148)</f>
        <v>3</v>
      </c>
      <c r="G148" s="4" t="n">
        <f aca="false">WEEKDAY(C148,2)</f>
        <v>3</v>
      </c>
      <c r="H148" s="4" t="n">
        <f aca="false">IF(E148&gt;0,1,0)</f>
        <v>0</v>
      </c>
      <c r="I148" s="4" t="n">
        <f aca="false">ROUND((D148-C148)*1440,0)</f>
        <v>70</v>
      </c>
    </row>
    <row r="149" customFormat="false" ht="15" hidden="false" customHeight="false" outlineLevel="0" collapsed="false">
      <c r="A149" s="4" t="n">
        <v>148</v>
      </c>
      <c r="B149" s="4" t="s">
        <v>41</v>
      </c>
      <c r="C149" s="13" t="n">
        <v>46288.1944444445</v>
      </c>
      <c r="D149" s="13" t="n">
        <v>46288.2534722222</v>
      </c>
      <c r="E149" s="14" t="n">
        <v>1.57</v>
      </c>
      <c r="F149" s="4" t="n">
        <f aca="false">HOUR(C149)</f>
        <v>4</v>
      </c>
      <c r="G149" s="4" t="n">
        <f aca="false">WEEKDAY(C149,2)</f>
        <v>3</v>
      </c>
      <c r="H149" s="4" t="n">
        <f aca="false">IF(E149&gt;0,1,0)</f>
        <v>1</v>
      </c>
      <c r="I149" s="4" t="n">
        <f aca="false">ROUND((D149-C149)*1440,0)</f>
        <v>85</v>
      </c>
    </row>
    <row r="150" customFormat="false" ht="15" hidden="false" customHeight="false" outlineLevel="0" collapsed="false">
      <c r="A150" s="4" t="n">
        <v>149</v>
      </c>
      <c r="B150" s="4" t="s">
        <v>41</v>
      </c>
      <c r="C150" s="13" t="n">
        <v>46288.3125</v>
      </c>
      <c r="D150" s="13" t="n">
        <v>46288.3819444445</v>
      </c>
      <c r="E150" s="14" t="n">
        <v>10.3</v>
      </c>
      <c r="F150" s="4" t="n">
        <f aca="false">HOUR(C150)</f>
        <v>7</v>
      </c>
      <c r="G150" s="4" t="n">
        <f aca="false">WEEKDAY(C150,2)</f>
        <v>3</v>
      </c>
      <c r="H150" s="4" t="n">
        <f aca="false">IF(E150&gt;0,1,0)</f>
        <v>1</v>
      </c>
      <c r="I150" s="4" t="n">
        <f aca="false">ROUND((D150-C150)*1440,0)</f>
        <v>100</v>
      </c>
    </row>
    <row r="151" customFormat="false" ht="15" hidden="false" customHeight="false" outlineLevel="0" collapsed="false">
      <c r="A151" s="4" t="n">
        <v>150</v>
      </c>
      <c r="B151" s="4" t="s">
        <v>41</v>
      </c>
      <c r="C151" s="13" t="n">
        <v>46288.3958333333</v>
      </c>
      <c r="D151" s="13" t="n">
        <v>46288.3958333333</v>
      </c>
      <c r="E151" s="14" t="n">
        <v>-4.61</v>
      </c>
      <c r="F151" s="4" t="n">
        <f aca="false">HOUR(C151)</f>
        <v>9</v>
      </c>
      <c r="G151" s="4" t="n">
        <f aca="false">WEEKDAY(C151,2)</f>
        <v>3</v>
      </c>
      <c r="H151" s="4" t="n">
        <f aca="false">IF(E151&gt;0,1,0)</f>
        <v>0</v>
      </c>
      <c r="I151" s="4" t="n">
        <f aca="false">ROUND((D151-C151)*1440,0)</f>
        <v>0</v>
      </c>
    </row>
    <row r="152" customFormat="false" ht="15" hidden="false" customHeight="false" outlineLevel="0" collapsed="false">
      <c r="A152" s="4" t="n">
        <v>151</v>
      </c>
      <c r="B152" s="4" t="s">
        <v>41</v>
      </c>
      <c r="C152" s="13" t="n">
        <v>46288.4791666667</v>
      </c>
      <c r="D152" s="13" t="n">
        <v>46288.5416666667</v>
      </c>
      <c r="E152" s="14" t="n">
        <v>5.8</v>
      </c>
      <c r="F152" s="4" t="n">
        <f aca="false">HOUR(C152)</f>
        <v>11</v>
      </c>
      <c r="G152" s="4" t="n">
        <f aca="false">WEEKDAY(C152,2)</f>
        <v>3</v>
      </c>
      <c r="H152" s="4" t="n">
        <f aca="false">IF(E152&gt;0,1,0)</f>
        <v>1</v>
      </c>
      <c r="I152" s="4" t="n">
        <f aca="false">ROUND((D152-C152)*1440,0)</f>
        <v>90</v>
      </c>
    </row>
    <row r="153" customFormat="false" ht="15" hidden="false" customHeight="false" outlineLevel="0" collapsed="false">
      <c r="A153" s="4" t="n">
        <v>152</v>
      </c>
      <c r="B153" s="4" t="s">
        <v>42</v>
      </c>
      <c r="C153" s="13" t="n">
        <v>46288.5416666667</v>
      </c>
      <c r="D153" s="13" t="n">
        <v>46288.5416666667</v>
      </c>
      <c r="E153" s="14" t="n">
        <v>-5.59</v>
      </c>
      <c r="F153" s="4" t="n">
        <f aca="false">HOUR(C153)</f>
        <v>13</v>
      </c>
      <c r="G153" s="4" t="n">
        <f aca="false">WEEKDAY(C153,2)</f>
        <v>3</v>
      </c>
      <c r="H153" s="4" t="n">
        <f aca="false">IF(E153&gt;0,1,0)</f>
        <v>0</v>
      </c>
      <c r="I153" s="4" t="n">
        <f aca="false">ROUND((D153-C153)*1440,0)</f>
        <v>0</v>
      </c>
    </row>
    <row r="154" customFormat="false" ht="15" hidden="false" customHeight="false" outlineLevel="0" collapsed="false">
      <c r="A154" s="4" t="n">
        <v>153</v>
      </c>
      <c r="B154" s="4" t="s">
        <v>42</v>
      </c>
      <c r="C154" s="13" t="n">
        <v>46288.6493055556</v>
      </c>
      <c r="D154" s="13" t="n">
        <v>46288.6597222222</v>
      </c>
      <c r="E154" s="14" t="n">
        <v>-2.83</v>
      </c>
      <c r="F154" s="4" t="n">
        <f aca="false">HOUR(C154)</f>
        <v>15</v>
      </c>
      <c r="G154" s="4" t="n">
        <f aca="false">WEEKDAY(C154,2)</f>
        <v>3</v>
      </c>
      <c r="H154" s="4" t="n">
        <f aca="false">IF(E154&gt;0,1,0)</f>
        <v>0</v>
      </c>
      <c r="I154" s="4" t="n">
        <f aca="false">ROUND((D154-C154)*1440,0)</f>
        <v>15</v>
      </c>
    </row>
    <row r="155" customFormat="false" ht="15" hidden="false" customHeight="false" outlineLevel="0" collapsed="false">
      <c r="A155" s="4" t="n">
        <v>154</v>
      </c>
      <c r="B155" s="4" t="s">
        <v>41</v>
      </c>
      <c r="C155" s="13" t="n">
        <v>46288.7951388889</v>
      </c>
      <c r="D155" s="13" t="n">
        <v>46288.8611111111</v>
      </c>
      <c r="E155" s="14" t="n">
        <v>6.97</v>
      </c>
      <c r="F155" s="4" t="n">
        <f aca="false">HOUR(C155)</f>
        <v>19</v>
      </c>
      <c r="G155" s="4" t="n">
        <f aca="false">WEEKDAY(C155,2)</f>
        <v>3</v>
      </c>
      <c r="H155" s="4" t="n">
        <f aca="false">IF(E155&gt;0,1,0)</f>
        <v>1</v>
      </c>
      <c r="I155" s="4" t="n">
        <f aca="false">ROUND((D155-C155)*1440,0)</f>
        <v>95</v>
      </c>
    </row>
    <row r="156" customFormat="false" ht="15" hidden="false" customHeight="false" outlineLevel="0" collapsed="false">
      <c r="A156" s="4" t="n">
        <v>155</v>
      </c>
      <c r="B156" s="4" t="s">
        <v>41</v>
      </c>
      <c r="C156" s="13" t="n">
        <v>46288.9027777778</v>
      </c>
      <c r="D156" s="13" t="n">
        <v>46288.9131944445</v>
      </c>
      <c r="E156" s="14" t="n">
        <v>2.34</v>
      </c>
      <c r="F156" s="4" t="n">
        <f aca="false">HOUR(C156)</f>
        <v>21</v>
      </c>
      <c r="G156" s="4" t="n">
        <f aca="false">WEEKDAY(C156,2)</f>
        <v>3</v>
      </c>
      <c r="H156" s="4" t="n">
        <f aca="false">IF(E156&gt;0,1,0)</f>
        <v>1</v>
      </c>
      <c r="I156" s="4" t="n">
        <f aca="false">ROUND((D156-C156)*1440,0)</f>
        <v>15</v>
      </c>
    </row>
    <row r="157" customFormat="false" ht="15" hidden="false" customHeight="false" outlineLevel="0" collapsed="false">
      <c r="A157" s="4" t="n">
        <v>156</v>
      </c>
      <c r="B157" s="4" t="s">
        <v>42</v>
      </c>
      <c r="C157" s="13" t="n">
        <v>46288.9409722222</v>
      </c>
      <c r="D157" s="13" t="n">
        <v>46288.9861111111</v>
      </c>
      <c r="E157" s="14" t="n">
        <v>-0.15</v>
      </c>
      <c r="F157" s="4" t="n">
        <f aca="false">HOUR(C157)</f>
        <v>22</v>
      </c>
      <c r="G157" s="4" t="n">
        <f aca="false">WEEKDAY(C157,2)</f>
        <v>3</v>
      </c>
      <c r="H157" s="4" t="n">
        <f aca="false">IF(E157&gt;0,1,0)</f>
        <v>0</v>
      </c>
      <c r="I157" s="4" t="n">
        <f aca="false">ROUND((D157-C157)*1440,0)</f>
        <v>65</v>
      </c>
    </row>
    <row r="158" customFormat="false" ht="15" hidden="false" customHeight="false" outlineLevel="0" collapsed="false">
      <c r="A158" s="4" t="n">
        <v>157</v>
      </c>
      <c r="B158" s="4" t="s">
        <v>41</v>
      </c>
      <c r="C158" s="13" t="n">
        <v>46288.9861111111</v>
      </c>
      <c r="D158" s="13" t="n">
        <v>46289.0069444445</v>
      </c>
      <c r="E158" s="14" t="n">
        <v>7.19</v>
      </c>
      <c r="F158" s="4" t="n">
        <f aca="false">HOUR(C158)</f>
        <v>23</v>
      </c>
      <c r="G158" s="4" t="n">
        <f aca="false">WEEKDAY(C158,2)</f>
        <v>3</v>
      </c>
      <c r="H158" s="4" t="n">
        <f aca="false">IF(E158&gt;0,1,0)</f>
        <v>1</v>
      </c>
      <c r="I158" s="4" t="n">
        <f aca="false">ROUND((D158-C158)*1440,0)</f>
        <v>30</v>
      </c>
    </row>
    <row r="159" customFormat="false" ht="15" hidden="false" customHeight="false" outlineLevel="0" collapsed="false">
      <c r="A159" s="4" t="n">
        <v>158</v>
      </c>
      <c r="B159" s="4" t="s">
        <v>42</v>
      </c>
      <c r="C159" s="13" t="n">
        <v>46289.0243055556</v>
      </c>
      <c r="D159" s="13" t="n">
        <v>46289.0729166667</v>
      </c>
      <c r="E159" s="14" t="n">
        <v>-3.13</v>
      </c>
      <c r="F159" s="4" t="n">
        <f aca="false">HOUR(C159)</f>
        <v>0</v>
      </c>
      <c r="G159" s="4" t="n">
        <f aca="false">WEEKDAY(C159,2)</f>
        <v>4</v>
      </c>
      <c r="H159" s="4" t="n">
        <f aca="false">IF(E159&gt;0,1,0)</f>
        <v>0</v>
      </c>
      <c r="I159" s="4" t="n">
        <f aca="false">ROUND((D159-C159)*1440,0)</f>
        <v>70</v>
      </c>
    </row>
    <row r="160" customFormat="false" ht="15" hidden="false" customHeight="false" outlineLevel="0" collapsed="false">
      <c r="A160" s="4" t="n">
        <v>159</v>
      </c>
      <c r="B160" s="4" t="s">
        <v>41</v>
      </c>
      <c r="C160" s="13" t="n">
        <v>46289.1076388889</v>
      </c>
      <c r="D160" s="13" t="n">
        <v>46289.1111111111</v>
      </c>
      <c r="E160" s="14" t="n">
        <v>-3.55</v>
      </c>
      <c r="F160" s="4" t="n">
        <f aca="false">HOUR(C160)</f>
        <v>2</v>
      </c>
      <c r="G160" s="4" t="n">
        <f aca="false">WEEKDAY(C160,2)</f>
        <v>4</v>
      </c>
      <c r="H160" s="4" t="n">
        <f aca="false">IF(E160&gt;0,1,0)</f>
        <v>0</v>
      </c>
      <c r="I160" s="4" t="n">
        <f aca="false">ROUND((D160-C160)*1440,0)</f>
        <v>5</v>
      </c>
    </row>
    <row r="161" customFormat="false" ht="15" hidden="false" customHeight="false" outlineLevel="0" collapsed="false">
      <c r="A161" s="4" t="n">
        <v>160</v>
      </c>
      <c r="B161" s="4" t="s">
        <v>42</v>
      </c>
      <c r="C161" s="13" t="n">
        <v>46289.1354166667</v>
      </c>
      <c r="D161" s="13" t="n">
        <v>46289.1631944445</v>
      </c>
      <c r="E161" s="14" t="n">
        <v>-4.34</v>
      </c>
      <c r="F161" s="4" t="n">
        <f aca="false">HOUR(C161)</f>
        <v>3</v>
      </c>
      <c r="G161" s="4" t="n">
        <f aca="false">WEEKDAY(C161,2)</f>
        <v>4</v>
      </c>
      <c r="H161" s="4" t="n">
        <f aca="false">IF(E161&gt;0,1,0)</f>
        <v>0</v>
      </c>
      <c r="I161" s="4" t="n">
        <f aca="false">ROUND((D161-C161)*1440,0)</f>
        <v>40</v>
      </c>
    </row>
    <row r="162" customFormat="false" ht="15" hidden="false" customHeight="false" outlineLevel="0" collapsed="false">
      <c r="A162" s="4" t="n">
        <v>161</v>
      </c>
      <c r="B162" s="4" t="s">
        <v>41</v>
      </c>
      <c r="C162" s="13" t="n">
        <v>46289.2361111111</v>
      </c>
      <c r="D162" s="13" t="n">
        <v>46289.2743055556</v>
      </c>
      <c r="E162" s="14" t="n">
        <v>-5.51</v>
      </c>
      <c r="F162" s="4" t="n">
        <f aca="false">HOUR(C162)</f>
        <v>5</v>
      </c>
      <c r="G162" s="4" t="n">
        <f aca="false">WEEKDAY(C162,2)</f>
        <v>4</v>
      </c>
      <c r="H162" s="4" t="n">
        <f aca="false">IF(E162&gt;0,1,0)</f>
        <v>0</v>
      </c>
      <c r="I162" s="4" t="n">
        <f aca="false">ROUND((D162-C162)*1440,0)</f>
        <v>55</v>
      </c>
    </row>
    <row r="163" customFormat="false" ht="15" hidden="false" customHeight="false" outlineLevel="0" collapsed="false">
      <c r="A163" s="4" t="n">
        <v>162</v>
      </c>
      <c r="B163" s="4" t="s">
        <v>41</v>
      </c>
      <c r="C163" s="13" t="n">
        <v>46289.3194444445</v>
      </c>
      <c r="D163" s="13" t="n">
        <v>46289.3472222222</v>
      </c>
      <c r="E163" s="14" t="n">
        <v>-5.25</v>
      </c>
      <c r="F163" s="4" t="n">
        <f aca="false">HOUR(C163)</f>
        <v>7</v>
      </c>
      <c r="G163" s="4" t="n">
        <f aca="false">WEEKDAY(C163,2)</f>
        <v>4</v>
      </c>
      <c r="H163" s="4" t="n">
        <f aca="false">IF(E163&gt;0,1,0)</f>
        <v>0</v>
      </c>
      <c r="I163" s="4" t="n">
        <f aca="false">ROUND((D163-C163)*1440,0)</f>
        <v>40</v>
      </c>
    </row>
    <row r="164" customFormat="false" ht="15" hidden="false" customHeight="false" outlineLevel="0" collapsed="false">
      <c r="A164" s="4" t="n">
        <v>163</v>
      </c>
      <c r="B164" s="4" t="s">
        <v>41</v>
      </c>
      <c r="C164" s="13" t="n">
        <v>46289.3784722222</v>
      </c>
      <c r="D164" s="13" t="n">
        <v>46289.3958333333</v>
      </c>
      <c r="E164" s="14" t="n">
        <v>-5.29</v>
      </c>
      <c r="F164" s="4" t="n">
        <f aca="false">HOUR(C164)</f>
        <v>9</v>
      </c>
      <c r="G164" s="4" t="n">
        <f aca="false">WEEKDAY(C164,2)</f>
        <v>4</v>
      </c>
      <c r="H164" s="4" t="n">
        <f aca="false">IF(E164&gt;0,1,0)</f>
        <v>0</v>
      </c>
      <c r="I164" s="4" t="n">
        <f aca="false">ROUND((D164-C164)*1440,0)</f>
        <v>25</v>
      </c>
    </row>
    <row r="165" customFormat="false" ht="15" hidden="false" customHeight="false" outlineLevel="0" collapsed="false">
      <c r="A165" s="4" t="n">
        <v>164</v>
      </c>
      <c r="B165" s="4" t="s">
        <v>41</v>
      </c>
      <c r="C165" s="13" t="n">
        <v>46289.4027777778</v>
      </c>
      <c r="D165" s="13" t="n">
        <v>46289.4201388889</v>
      </c>
      <c r="E165" s="14" t="n">
        <v>-7.71</v>
      </c>
      <c r="F165" s="4" t="n">
        <f aca="false">HOUR(C165)</f>
        <v>9</v>
      </c>
      <c r="G165" s="4" t="n">
        <f aca="false">WEEKDAY(C165,2)</f>
        <v>4</v>
      </c>
      <c r="H165" s="4" t="n">
        <f aca="false">IF(E165&gt;0,1,0)</f>
        <v>0</v>
      </c>
      <c r="I165" s="4" t="n">
        <f aca="false">ROUND((D165-C165)*1440,0)</f>
        <v>25</v>
      </c>
    </row>
    <row r="166" customFormat="false" ht="15" hidden="false" customHeight="false" outlineLevel="0" collapsed="false">
      <c r="A166" s="4" t="n">
        <v>165</v>
      </c>
      <c r="B166" s="4" t="s">
        <v>41</v>
      </c>
      <c r="C166" s="13" t="n">
        <v>46289.46875</v>
      </c>
      <c r="D166" s="13" t="n">
        <v>46289.5104166667</v>
      </c>
      <c r="E166" s="14" t="n">
        <v>-9.65</v>
      </c>
      <c r="F166" s="4" t="n">
        <f aca="false">HOUR(C166)</f>
        <v>11</v>
      </c>
      <c r="G166" s="4" t="n">
        <f aca="false">WEEKDAY(C166,2)</f>
        <v>4</v>
      </c>
      <c r="H166" s="4" t="n">
        <f aca="false">IF(E166&gt;0,1,0)</f>
        <v>0</v>
      </c>
      <c r="I166" s="4" t="n">
        <f aca="false">ROUND((D166-C166)*1440,0)</f>
        <v>60</v>
      </c>
    </row>
    <row r="167" customFormat="false" ht="15" hidden="false" customHeight="false" outlineLevel="0" collapsed="false">
      <c r="A167" s="4" t="n">
        <v>166</v>
      </c>
      <c r="B167" s="4" t="s">
        <v>42</v>
      </c>
      <c r="C167" s="13" t="n">
        <v>46289.5138888889</v>
      </c>
      <c r="D167" s="13" t="n">
        <v>46289.5659722222</v>
      </c>
      <c r="E167" s="14" t="n">
        <v>-9.61</v>
      </c>
      <c r="F167" s="4" t="n">
        <f aca="false">HOUR(C167)</f>
        <v>12</v>
      </c>
      <c r="G167" s="4" t="n">
        <f aca="false">WEEKDAY(C167,2)</f>
        <v>4</v>
      </c>
      <c r="H167" s="4" t="n">
        <f aca="false">IF(E167&gt;0,1,0)</f>
        <v>0</v>
      </c>
      <c r="I167" s="4" t="n">
        <f aca="false">ROUND((D167-C167)*1440,0)</f>
        <v>75</v>
      </c>
    </row>
    <row r="168" customFormat="false" ht="15" hidden="false" customHeight="false" outlineLevel="0" collapsed="false">
      <c r="A168" s="4" t="n">
        <v>167</v>
      </c>
      <c r="B168" s="4" t="s">
        <v>42</v>
      </c>
      <c r="C168" s="13" t="n">
        <v>46289.6527777778</v>
      </c>
      <c r="D168" s="13" t="n">
        <v>46289.6666666667</v>
      </c>
      <c r="E168" s="14" t="n">
        <v>-6.36</v>
      </c>
      <c r="F168" s="4" t="n">
        <f aca="false">HOUR(C168)</f>
        <v>15</v>
      </c>
      <c r="G168" s="4" t="n">
        <f aca="false">WEEKDAY(C168,2)</f>
        <v>4</v>
      </c>
      <c r="H168" s="4" t="n">
        <f aca="false">IF(E168&gt;0,1,0)</f>
        <v>0</v>
      </c>
      <c r="I168" s="4" t="n">
        <f aca="false">ROUND((D168-C168)*1440,0)</f>
        <v>20</v>
      </c>
    </row>
    <row r="169" customFormat="false" ht="15" hidden="false" customHeight="false" outlineLevel="0" collapsed="false">
      <c r="A169" s="4" t="n">
        <v>168</v>
      </c>
      <c r="B169" s="4" t="s">
        <v>41</v>
      </c>
      <c r="C169" s="13" t="n">
        <v>46289.7916666667</v>
      </c>
      <c r="D169" s="13" t="n">
        <v>46289.8020833333</v>
      </c>
      <c r="E169" s="14" t="n">
        <v>-1.15</v>
      </c>
      <c r="F169" s="4" t="n">
        <f aca="false">HOUR(C169)</f>
        <v>19</v>
      </c>
      <c r="G169" s="4" t="n">
        <f aca="false">WEEKDAY(C169,2)</f>
        <v>4</v>
      </c>
      <c r="H169" s="4" t="n">
        <f aca="false">IF(E169&gt;0,1,0)</f>
        <v>0</v>
      </c>
      <c r="I169" s="4" t="n">
        <f aca="false">ROUND((D169-C169)*1440,0)</f>
        <v>15</v>
      </c>
    </row>
    <row r="170" customFormat="false" ht="15" hidden="false" customHeight="false" outlineLevel="0" collapsed="false">
      <c r="A170" s="4" t="n">
        <v>169</v>
      </c>
      <c r="B170" s="4" t="s">
        <v>42</v>
      </c>
      <c r="C170" s="13" t="n">
        <v>46289.8020833333</v>
      </c>
      <c r="D170" s="13" t="n">
        <v>46289.8333333333</v>
      </c>
      <c r="E170" s="14" t="n">
        <v>-2.64</v>
      </c>
      <c r="F170" s="4" t="n">
        <f aca="false">HOUR(C170)</f>
        <v>19</v>
      </c>
      <c r="G170" s="4" t="n">
        <f aca="false">WEEKDAY(C170,2)</f>
        <v>4</v>
      </c>
      <c r="H170" s="4" t="n">
        <f aca="false">IF(E170&gt;0,1,0)</f>
        <v>0</v>
      </c>
      <c r="I170" s="4" t="n">
        <f aca="false">ROUND((D170-C170)*1440,0)</f>
        <v>45</v>
      </c>
    </row>
    <row r="171" customFormat="false" ht="15" hidden="false" customHeight="false" outlineLevel="0" collapsed="false">
      <c r="A171" s="4" t="n">
        <v>170</v>
      </c>
      <c r="B171" s="4" t="s">
        <v>42</v>
      </c>
      <c r="C171" s="13" t="n">
        <v>46289.8854166667</v>
      </c>
      <c r="D171" s="13" t="n">
        <v>46290.0104166667</v>
      </c>
      <c r="E171" s="14" t="n">
        <v>4.22</v>
      </c>
      <c r="F171" s="4" t="n">
        <f aca="false">HOUR(C171)</f>
        <v>21</v>
      </c>
      <c r="G171" s="4" t="n">
        <f aca="false">WEEKDAY(C171,2)</f>
        <v>4</v>
      </c>
      <c r="H171" s="4" t="n">
        <f aca="false">IF(E171&gt;0,1,0)</f>
        <v>1</v>
      </c>
      <c r="I171" s="4" t="n">
        <f aca="false">ROUND((D171-C171)*1440,0)</f>
        <v>180</v>
      </c>
    </row>
    <row r="172" customFormat="false" ht="15" hidden="false" customHeight="false" outlineLevel="0" collapsed="false">
      <c r="A172" s="4" t="n">
        <v>171</v>
      </c>
      <c r="B172" s="4" t="s">
        <v>41</v>
      </c>
      <c r="C172" s="13" t="n">
        <v>46290.0104166667</v>
      </c>
      <c r="D172" s="13" t="n">
        <v>46290.0486111111</v>
      </c>
      <c r="E172" s="14" t="n">
        <v>-0.37</v>
      </c>
      <c r="F172" s="4" t="n">
        <f aca="false">HOUR(C172)</f>
        <v>0</v>
      </c>
      <c r="G172" s="4" t="n">
        <f aca="false">WEEKDAY(C172,2)</f>
        <v>5</v>
      </c>
      <c r="H172" s="4" t="n">
        <f aca="false">IF(E172&gt;0,1,0)</f>
        <v>0</v>
      </c>
      <c r="I172" s="4" t="n">
        <f aca="false">ROUND((D172-C172)*1440,0)</f>
        <v>55</v>
      </c>
    </row>
    <row r="173" customFormat="false" ht="15" hidden="false" customHeight="false" outlineLevel="0" collapsed="false">
      <c r="A173" s="4" t="n">
        <v>172</v>
      </c>
      <c r="B173" s="4" t="s">
        <v>42</v>
      </c>
      <c r="C173" s="13" t="n">
        <v>46290.0486111111</v>
      </c>
      <c r="D173" s="13" t="n">
        <v>46290.0694444445</v>
      </c>
      <c r="E173" s="14" t="n">
        <v>6.07</v>
      </c>
      <c r="F173" s="4" t="n">
        <f aca="false">HOUR(C173)</f>
        <v>1</v>
      </c>
      <c r="G173" s="4" t="n">
        <f aca="false">WEEKDAY(C173,2)</f>
        <v>5</v>
      </c>
      <c r="H173" s="4" t="n">
        <f aca="false">IF(E173&gt;0,1,0)</f>
        <v>1</v>
      </c>
      <c r="I173" s="4" t="n">
        <f aca="false">ROUND((D173-C173)*1440,0)</f>
        <v>30</v>
      </c>
    </row>
    <row r="174" customFormat="false" ht="15" hidden="false" customHeight="false" outlineLevel="0" collapsed="false">
      <c r="A174" s="4" t="n">
        <v>173</v>
      </c>
      <c r="B174" s="4" t="s">
        <v>42</v>
      </c>
      <c r="C174" s="13" t="n">
        <v>46290.1076388889</v>
      </c>
      <c r="D174" s="13" t="n">
        <v>46290.1354166667</v>
      </c>
      <c r="E174" s="14" t="n">
        <v>-2.65</v>
      </c>
      <c r="F174" s="4" t="n">
        <f aca="false">HOUR(C174)</f>
        <v>2</v>
      </c>
      <c r="G174" s="4" t="n">
        <f aca="false">WEEKDAY(C174,2)</f>
        <v>5</v>
      </c>
      <c r="H174" s="4" t="n">
        <f aca="false">IF(E174&gt;0,1,0)</f>
        <v>0</v>
      </c>
      <c r="I174" s="4" t="n">
        <f aca="false">ROUND((D174-C174)*1440,0)</f>
        <v>40</v>
      </c>
    </row>
    <row r="175" customFormat="false" ht="15" hidden="false" customHeight="false" outlineLevel="0" collapsed="false">
      <c r="A175" s="4" t="n">
        <v>174</v>
      </c>
      <c r="B175" s="4" t="s">
        <v>41</v>
      </c>
      <c r="C175" s="13" t="n">
        <v>46290.1701388889</v>
      </c>
      <c r="D175" s="13" t="n">
        <v>46290.1736111111</v>
      </c>
      <c r="E175" s="14" t="n">
        <v>-3.43</v>
      </c>
      <c r="F175" s="4" t="n">
        <f aca="false">HOUR(C175)</f>
        <v>4</v>
      </c>
      <c r="G175" s="4" t="n">
        <f aca="false">WEEKDAY(C175,2)</f>
        <v>5</v>
      </c>
      <c r="H175" s="4" t="n">
        <f aca="false">IF(E175&gt;0,1,0)</f>
        <v>0</v>
      </c>
      <c r="I175" s="4" t="n">
        <f aca="false">ROUND((D175-C175)*1440,0)</f>
        <v>5</v>
      </c>
    </row>
    <row r="176" customFormat="false" ht="15" hidden="false" customHeight="false" outlineLevel="0" collapsed="false">
      <c r="A176" s="4" t="n">
        <v>175</v>
      </c>
      <c r="B176" s="4" t="s">
        <v>42</v>
      </c>
      <c r="C176" s="13" t="n">
        <v>46290.1875</v>
      </c>
      <c r="D176" s="13" t="n">
        <v>46290.2777777778</v>
      </c>
      <c r="E176" s="14" t="n">
        <v>-0.3</v>
      </c>
      <c r="F176" s="4" t="n">
        <f aca="false">HOUR(C176)</f>
        <v>4</v>
      </c>
      <c r="G176" s="4" t="n">
        <f aca="false">WEEKDAY(C176,2)</f>
        <v>5</v>
      </c>
      <c r="H176" s="4" t="n">
        <f aca="false">IF(E176&gt;0,1,0)</f>
        <v>0</v>
      </c>
      <c r="I176" s="4" t="n">
        <f aca="false">ROUND((D176-C176)*1440,0)</f>
        <v>130</v>
      </c>
    </row>
    <row r="177" customFormat="false" ht="15" hidden="false" customHeight="false" outlineLevel="0" collapsed="false">
      <c r="A177" s="4" t="n">
        <v>176</v>
      </c>
      <c r="B177" s="4" t="s">
        <v>41</v>
      </c>
      <c r="C177" s="13" t="n">
        <v>46290.2777777778</v>
      </c>
      <c r="D177" s="13" t="n">
        <v>46290.2951388889</v>
      </c>
      <c r="E177" s="14" t="n">
        <v>-3.05</v>
      </c>
      <c r="F177" s="4" t="n">
        <f aca="false">HOUR(C177)</f>
        <v>6</v>
      </c>
      <c r="G177" s="4" t="n">
        <f aca="false">WEEKDAY(C177,2)</f>
        <v>5</v>
      </c>
      <c r="H177" s="4" t="n">
        <f aca="false">IF(E177&gt;0,1,0)</f>
        <v>0</v>
      </c>
      <c r="I177" s="4" t="n">
        <f aca="false">ROUND((D177-C177)*1440,0)</f>
        <v>25</v>
      </c>
    </row>
    <row r="178" customFormat="false" ht="15" hidden="false" customHeight="false" outlineLevel="0" collapsed="false">
      <c r="A178" s="4" t="n">
        <v>177</v>
      </c>
      <c r="B178" s="4" t="s">
        <v>42</v>
      </c>
      <c r="C178" s="13" t="n">
        <v>46290.2986111111</v>
      </c>
      <c r="D178" s="13" t="n">
        <v>46290.34375</v>
      </c>
      <c r="E178" s="14" t="n">
        <v>-3.47</v>
      </c>
      <c r="F178" s="4" t="n">
        <f aca="false">HOUR(C178)</f>
        <v>7</v>
      </c>
      <c r="G178" s="4" t="n">
        <f aca="false">WEEKDAY(C178,2)</f>
        <v>5</v>
      </c>
      <c r="H178" s="4" t="n">
        <f aca="false">IF(E178&gt;0,1,0)</f>
        <v>0</v>
      </c>
      <c r="I178" s="4" t="n">
        <f aca="false">ROUND((D178-C178)*1440,0)</f>
        <v>65</v>
      </c>
    </row>
    <row r="179" customFormat="false" ht="15" hidden="false" customHeight="false" outlineLevel="0" collapsed="false">
      <c r="A179" s="4" t="n">
        <v>178</v>
      </c>
      <c r="B179" s="4" t="s">
        <v>41</v>
      </c>
      <c r="C179" s="13" t="n">
        <v>46290.3923611111</v>
      </c>
      <c r="D179" s="13" t="n">
        <v>46290.3958333333</v>
      </c>
      <c r="E179" s="14" t="n">
        <v>-5</v>
      </c>
      <c r="F179" s="4" t="n">
        <f aca="false">HOUR(C179)</f>
        <v>9</v>
      </c>
      <c r="G179" s="4" t="n">
        <f aca="false">WEEKDAY(C179,2)</f>
        <v>5</v>
      </c>
      <c r="H179" s="4" t="n">
        <f aca="false">IF(E179&gt;0,1,0)</f>
        <v>0</v>
      </c>
      <c r="I179" s="4" t="n">
        <f aca="false">ROUND((D179-C179)*1440,0)</f>
        <v>5</v>
      </c>
    </row>
    <row r="180" customFormat="false" ht="15" hidden="false" customHeight="false" outlineLevel="0" collapsed="false">
      <c r="A180" s="4" t="n">
        <v>179</v>
      </c>
      <c r="B180" s="4" t="s">
        <v>42</v>
      </c>
      <c r="C180" s="13" t="n">
        <v>46290.4027777778</v>
      </c>
      <c r="D180" s="13" t="n">
        <v>46290.4166666667</v>
      </c>
      <c r="E180" s="14" t="n">
        <v>-6.87</v>
      </c>
      <c r="F180" s="4" t="n">
        <f aca="false">HOUR(C180)</f>
        <v>9</v>
      </c>
      <c r="G180" s="4" t="n">
        <f aca="false">WEEKDAY(C180,2)</f>
        <v>5</v>
      </c>
      <c r="H180" s="4" t="n">
        <f aca="false">IF(E180&gt;0,1,0)</f>
        <v>0</v>
      </c>
      <c r="I180" s="4" t="n">
        <f aca="false">ROUND((D180-C180)*1440,0)</f>
        <v>20</v>
      </c>
    </row>
    <row r="181" customFormat="false" ht="15" hidden="false" customHeight="false" outlineLevel="0" collapsed="false">
      <c r="A181" s="4" t="n">
        <v>180</v>
      </c>
      <c r="B181" s="4" t="s">
        <v>42</v>
      </c>
      <c r="C181" s="13" t="n">
        <v>46290.4236111111</v>
      </c>
      <c r="D181" s="13" t="n">
        <v>46290.4756944445</v>
      </c>
      <c r="E181" s="14" t="n">
        <v>8.82</v>
      </c>
      <c r="F181" s="4" t="n">
        <f aca="false">HOUR(C181)</f>
        <v>10</v>
      </c>
      <c r="G181" s="4" t="n">
        <f aca="false">WEEKDAY(C181,2)</f>
        <v>5</v>
      </c>
      <c r="H181" s="4" t="n">
        <f aca="false">IF(E181&gt;0,1,0)</f>
        <v>1</v>
      </c>
      <c r="I181" s="4" t="n">
        <f aca="false">ROUND((D181-C181)*1440,0)</f>
        <v>75</v>
      </c>
    </row>
    <row r="182" customFormat="false" ht="15" hidden="false" customHeight="false" outlineLevel="0" collapsed="false">
      <c r="A182" s="4" t="n">
        <v>181</v>
      </c>
      <c r="B182" s="4" t="s">
        <v>41</v>
      </c>
      <c r="C182" s="13" t="n">
        <v>46290.4756944445</v>
      </c>
      <c r="D182" s="13" t="n">
        <v>46290.4965277778</v>
      </c>
      <c r="E182" s="14" t="n">
        <v>-8.46</v>
      </c>
      <c r="F182" s="4" t="n">
        <f aca="false">HOUR(C182)</f>
        <v>11</v>
      </c>
      <c r="G182" s="4" t="n">
        <f aca="false">WEEKDAY(C182,2)</f>
        <v>5</v>
      </c>
      <c r="H182" s="4" t="n">
        <f aca="false">IF(E182&gt;0,1,0)</f>
        <v>0</v>
      </c>
      <c r="I182" s="4" t="n">
        <f aca="false">ROUND((D182-C182)*1440,0)</f>
        <v>30</v>
      </c>
    </row>
    <row r="183" customFormat="false" ht="15" hidden="false" customHeight="false" outlineLevel="0" collapsed="false">
      <c r="A183" s="4" t="n">
        <v>182</v>
      </c>
      <c r="B183" s="4" t="s">
        <v>42</v>
      </c>
      <c r="C183" s="13" t="n">
        <v>46290.5069444445</v>
      </c>
      <c r="D183" s="13" t="n">
        <v>46290.5381944445</v>
      </c>
      <c r="E183" s="14" t="n">
        <v>-9.96</v>
      </c>
      <c r="F183" s="4" t="n">
        <f aca="false">HOUR(C183)</f>
        <v>12</v>
      </c>
      <c r="G183" s="4" t="n">
        <f aca="false">WEEKDAY(C183,2)</f>
        <v>5</v>
      </c>
      <c r="H183" s="4" t="n">
        <f aca="false">IF(E183&gt;0,1,0)</f>
        <v>0</v>
      </c>
      <c r="I183" s="4" t="n">
        <f aca="false">ROUND((D183-C183)*1440,0)</f>
        <v>45</v>
      </c>
    </row>
    <row r="184" customFormat="false" ht="15" hidden="false" customHeight="false" outlineLevel="0" collapsed="false">
      <c r="A184" s="4" t="n">
        <v>183</v>
      </c>
      <c r="B184" s="4" t="s">
        <v>41</v>
      </c>
      <c r="C184" s="13" t="n">
        <v>46290.5590277778</v>
      </c>
      <c r="D184" s="13" t="n">
        <v>46290.6493055556</v>
      </c>
      <c r="E184" s="14" t="n">
        <v>-6.23</v>
      </c>
      <c r="F184" s="4" t="n">
        <f aca="false">HOUR(C184)</f>
        <v>13</v>
      </c>
      <c r="G184" s="4" t="n">
        <f aca="false">WEEKDAY(C184,2)</f>
        <v>5</v>
      </c>
      <c r="H184" s="4" t="n">
        <f aca="false">IF(E184&gt;0,1,0)</f>
        <v>0</v>
      </c>
      <c r="I184" s="4" t="n">
        <f aca="false">ROUND((D184-C184)*1440,0)</f>
        <v>130</v>
      </c>
    </row>
    <row r="185" customFormat="false" ht="15" hidden="false" customHeight="false" outlineLevel="0" collapsed="false">
      <c r="A185" s="4" t="n">
        <v>184</v>
      </c>
      <c r="B185" s="4" t="s">
        <v>41</v>
      </c>
      <c r="C185" s="13" t="n">
        <v>46290.7048611111</v>
      </c>
      <c r="D185" s="13" t="n">
        <v>46292.75</v>
      </c>
      <c r="E185" s="14" t="n">
        <v>9.8</v>
      </c>
      <c r="F185" s="4" t="n">
        <f aca="false">HOUR(C185)</f>
        <v>16</v>
      </c>
      <c r="G185" s="4" t="n">
        <f aca="false">WEEKDAY(C185,2)</f>
        <v>5</v>
      </c>
      <c r="H185" s="4" t="n">
        <f aca="false">IF(E185&gt;0,1,0)</f>
        <v>1</v>
      </c>
      <c r="I185" s="4" t="n">
        <f aca="false">ROUND((D185-C185)*1440,0)</f>
        <v>2945</v>
      </c>
    </row>
    <row r="186" customFormat="false" ht="15" hidden="false" customHeight="false" outlineLevel="0" collapsed="false">
      <c r="A186" s="4" t="n">
        <v>185</v>
      </c>
      <c r="B186" s="4" t="s">
        <v>41</v>
      </c>
      <c r="C186" s="13" t="n">
        <v>46292.8611111111</v>
      </c>
      <c r="D186" s="13" t="n">
        <v>46292.8645833333</v>
      </c>
      <c r="E186" s="14" t="n">
        <v>-3.13</v>
      </c>
      <c r="F186" s="4" t="n">
        <f aca="false">HOUR(C186)</f>
        <v>20</v>
      </c>
      <c r="G186" s="4" t="n">
        <f aca="false">WEEKDAY(C186,2)</f>
        <v>7</v>
      </c>
      <c r="H186" s="4" t="n">
        <f aca="false">IF(E186&gt;0,1,0)</f>
        <v>0</v>
      </c>
      <c r="I186" s="4" t="n">
        <f aca="false">ROUND((D186-C186)*1440,0)</f>
        <v>5</v>
      </c>
    </row>
    <row r="187" customFormat="false" ht="15" hidden="false" customHeight="false" outlineLevel="0" collapsed="false">
      <c r="A187" s="4" t="n">
        <v>186</v>
      </c>
      <c r="B187" s="4" t="s">
        <v>41</v>
      </c>
      <c r="C187" s="13" t="n">
        <v>46292.9201388889</v>
      </c>
      <c r="D187" s="13" t="n">
        <v>46292.9479166667</v>
      </c>
      <c r="E187" s="14" t="n">
        <v>-2.8</v>
      </c>
      <c r="F187" s="4" t="n">
        <f aca="false">HOUR(C187)</f>
        <v>22</v>
      </c>
      <c r="G187" s="4" t="n">
        <f aca="false">WEEKDAY(C187,2)</f>
        <v>7</v>
      </c>
      <c r="H187" s="4" t="n">
        <f aca="false">IF(E187&gt;0,1,0)</f>
        <v>0</v>
      </c>
      <c r="I187" s="4" t="n">
        <f aca="false">ROUND((D187-C187)*1440,0)</f>
        <v>40</v>
      </c>
    </row>
    <row r="188" customFormat="false" ht="15" hidden="false" customHeight="false" outlineLevel="0" collapsed="false">
      <c r="A188" s="4" t="n">
        <v>187</v>
      </c>
      <c r="B188" s="4" t="s">
        <v>42</v>
      </c>
      <c r="C188" s="13" t="n">
        <v>46292.9479166667</v>
      </c>
      <c r="D188" s="13" t="n">
        <v>46292.9513888889</v>
      </c>
      <c r="E188" s="14" t="n">
        <v>-3.05</v>
      </c>
      <c r="F188" s="4" t="n">
        <f aca="false">HOUR(C188)</f>
        <v>22</v>
      </c>
      <c r="G188" s="4" t="n">
        <f aca="false">WEEKDAY(C188,2)</f>
        <v>7</v>
      </c>
      <c r="H188" s="4" t="n">
        <f aca="false">IF(E188&gt;0,1,0)</f>
        <v>0</v>
      </c>
      <c r="I188" s="4" t="n">
        <f aca="false">ROUND((D188-C188)*1440,0)</f>
        <v>5</v>
      </c>
    </row>
    <row r="189" customFormat="false" ht="15" hidden="false" customHeight="false" outlineLevel="0" collapsed="false">
      <c r="A189" s="4" t="n">
        <v>188</v>
      </c>
      <c r="B189" s="4" t="s">
        <v>41</v>
      </c>
      <c r="C189" s="13" t="n">
        <v>46292.9826388889</v>
      </c>
      <c r="D189" s="13" t="n">
        <v>46293.0833333333</v>
      </c>
      <c r="E189" s="14" t="n">
        <v>-0.65</v>
      </c>
      <c r="F189" s="4" t="n">
        <f aca="false">HOUR(C189)</f>
        <v>23</v>
      </c>
      <c r="G189" s="4" t="n">
        <f aca="false">WEEKDAY(C189,2)</f>
        <v>7</v>
      </c>
      <c r="H189" s="4" t="n">
        <f aca="false">IF(E189&gt;0,1,0)</f>
        <v>0</v>
      </c>
      <c r="I189" s="4" t="n">
        <f aca="false">ROUND((D189-C189)*1440,0)</f>
        <v>145</v>
      </c>
    </row>
    <row r="190" customFormat="false" ht="15" hidden="false" customHeight="false" outlineLevel="0" collapsed="false">
      <c r="A190" s="4" t="n">
        <v>189</v>
      </c>
      <c r="B190" s="4" t="s">
        <v>42</v>
      </c>
      <c r="C190" s="13" t="n">
        <v>46293.0833333333</v>
      </c>
      <c r="D190" s="13" t="n">
        <v>46293.1006944445</v>
      </c>
      <c r="E190" s="14" t="n">
        <v>-2.51</v>
      </c>
      <c r="F190" s="4" t="n">
        <f aca="false">HOUR(C190)</f>
        <v>2</v>
      </c>
      <c r="G190" s="4" t="n">
        <f aca="false">WEEKDAY(C190,2)</f>
        <v>1</v>
      </c>
      <c r="H190" s="4" t="n">
        <f aca="false">IF(E190&gt;0,1,0)</f>
        <v>0</v>
      </c>
      <c r="I190" s="4" t="n">
        <f aca="false">ROUND((D190-C190)*1440,0)</f>
        <v>25</v>
      </c>
    </row>
    <row r="191" customFormat="false" ht="15" hidden="false" customHeight="false" outlineLevel="0" collapsed="false">
      <c r="A191" s="4" t="n">
        <v>190</v>
      </c>
      <c r="B191" s="4" t="s">
        <v>41</v>
      </c>
      <c r="C191" s="13" t="n">
        <v>46293.1354166667</v>
      </c>
      <c r="D191" s="13" t="n">
        <v>46293.1493055556</v>
      </c>
      <c r="E191" s="14" t="n">
        <v>-2.33</v>
      </c>
      <c r="F191" s="4" t="n">
        <f aca="false">HOUR(C191)</f>
        <v>3</v>
      </c>
      <c r="G191" s="4" t="n">
        <f aca="false">WEEKDAY(C191,2)</f>
        <v>1</v>
      </c>
      <c r="H191" s="4" t="n">
        <f aca="false">IF(E191&gt;0,1,0)</f>
        <v>0</v>
      </c>
      <c r="I191" s="4" t="n">
        <f aca="false">ROUND((D191-C191)*1440,0)</f>
        <v>20</v>
      </c>
    </row>
    <row r="192" customFormat="false" ht="15" hidden="false" customHeight="false" outlineLevel="0" collapsed="false">
      <c r="A192" s="4" t="n">
        <v>191</v>
      </c>
      <c r="B192" s="4" t="s">
        <v>42</v>
      </c>
      <c r="C192" s="13" t="n">
        <v>46293.1493055556</v>
      </c>
      <c r="D192" s="13" t="n">
        <v>46293.2118055556</v>
      </c>
      <c r="E192" s="14" t="n">
        <v>-3.27</v>
      </c>
      <c r="F192" s="4" t="n">
        <f aca="false">HOUR(C192)</f>
        <v>3</v>
      </c>
      <c r="G192" s="4" t="n">
        <f aca="false">WEEKDAY(C192,2)</f>
        <v>1</v>
      </c>
      <c r="H192" s="4" t="n">
        <f aca="false">IF(E192&gt;0,1,0)</f>
        <v>0</v>
      </c>
      <c r="I192" s="4" t="n">
        <f aca="false">ROUND((D192-C192)*1440,0)</f>
        <v>90</v>
      </c>
    </row>
    <row r="193" customFormat="false" ht="15" hidden="false" customHeight="false" outlineLevel="0" collapsed="false">
      <c r="A193" s="4" t="n">
        <v>192</v>
      </c>
      <c r="B193" s="4" t="s">
        <v>41</v>
      </c>
      <c r="C193" s="13" t="n">
        <v>46293.2118055556</v>
      </c>
      <c r="D193" s="13" t="n">
        <v>46293.2395833333</v>
      </c>
      <c r="E193" s="14" t="n">
        <v>-5.01</v>
      </c>
      <c r="F193" s="4" t="n">
        <f aca="false">HOUR(C193)</f>
        <v>5</v>
      </c>
      <c r="G193" s="4" t="n">
        <f aca="false">WEEKDAY(C193,2)</f>
        <v>1</v>
      </c>
      <c r="H193" s="4" t="n">
        <f aca="false">IF(E193&gt;0,1,0)</f>
        <v>0</v>
      </c>
      <c r="I193" s="4" t="n">
        <f aca="false">ROUND((D193-C193)*1440,0)</f>
        <v>40</v>
      </c>
    </row>
    <row r="194" customFormat="false" ht="15" hidden="false" customHeight="false" outlineLevel="0" collapsed="false">
      <c r="A194" s="4" t="n">
        <v>193</v>
      </c>
      <c r="B194" s="4" t="s">
        <v>41</v>
      </c>
      <c r="C194" s="13" t="n">
        <v>46293.2951388889</v>
      </c>
      <c r="D194" s="13" t="n">
        <v>46293.3020833333</v>
      </c>
      <c r="E194" s="14" t="n">
        <v>-5.04</v>
      </c>
      <c r="F194" s="4" t="n">
        <f aca="false">HOUR(C194)</f>
        <v>7</v>
      </c>
      <c r="G194" s="4" t="n">
        <f aca="false">WEEKDAY(C194,2)</f>
        <v>1</v>
      </c>
      <c r="H194" s="4" t="n">
        <f aca="false">IF(E194&gt;0,1,0)</f>
        <v>0</v>
      </c>
      <c r="I194" s="4" t="n">
        <f aca="false">ROUND((D194-C194)*1440,0)</f>
        <v>10</v>
      </c>
    </row>
    <row r="195" customFormat="false" ht="15" hidden="false" customHeight="false" outlineLevel="0" collapsed="false">
      <c r="A195" s="4" t="n">
        <v>194</v>
      </c>
      <c r="B195" s="4" t="s">
        <v>42</v>
      </c>
      <c r="C195" s="13" t="n">
        <v>46293.3125</v>
      </c>
      <c r="D195" s="13" t="n">
        <v>46293.3263888889</v>
      </c>
      <c r="E195" s="14" t="n">
        <v>-5.18</v>
      </c>
      <c r="F195" s="4" t="n">
        <f aca="false">HOUR(C195)</f>
        <v>7</v>
      </c>
      <c r="G195" s="4" t="n">
        <f aca="false">WEEKDAY(C195,2)</f>
        <v>1</v>
      </c>
      <c r="H195" s="4" t="n">
        <f aca="false">IF(E195&gt;0,1,0)</f>
        <v>0</v>
      </c>
      <c r="I195" s="4" t="n">
        <f aca="false">ROUND((D195-C195)*1440,0)</f>
        <v>20</v>
      </c>
    </row>
    <row r="196" customFormat="false" ht="15" hidden="false" customHeight="false" outlineLevel="0" collapsed="false">
      <c r="A196" s="4" t="n">
        <v>195</v>
      </c>
      <c r="B196" s="4" t="s">
        <v>42</v>
      </c>
      <c r="C196" s="13" t="n">
        <v>46293.4375</v>
      </c>
      <c r="D196" s="13" t="n">
        <v>46293.4444444445</v>
      </c>
      <c r="E196" s="14" t="n">
        <v>-7.96</v>
      </c>
      <c r="F196" s="4" t="n">
        <f aca="false">HOUR(C196)</f>
        <v>10</v>
      </c>
      <c r="G196" s="4" t="n">
        <f aca="false">WEEKDAY(C196,2)</f>
        <v>1</v>
      </c>
      <c r="H196" s="4" t="n">
        <f aca="false">IF(E196&gt;0,1,0)</f>
        <v>0</v>
      </c>
      <c r="I196" s="4" t="n">
        <f aca="false">ROUND((D196-C196)*1440,0)</f>
        <v>10</v>
      </c>
    </row>
    <row r="197" customFormat="false" ht="15" hidden="false" customHeight="false" outlineLevel="0" collapsed="false">
      <c r="A197" s="4" t="n">
        <v>196</v>
      </c>
      <c r="B197" s="4" t="s">
        <v>42</v>
      </c>
      <c r="C197" s="13" t="n">
        <v>46293.5208333333</v>
      </c>
      <c r="D197" s="13" t="n">
        <v>46293.5208333333</v>
      </c>
      <c r="E197" s="14" t="n">
        <v>-8.35</v>
      </c>
      <c r="F197" s="4" t="n">
        <f aca="false">HOUR(C197)</f>
        <v>12</v>
      </c>
      <c r="G197" s="4" t="n">
        <f aca="false">WEEKDAY(C197,2)</f>
        <v>1</v>
      </c>
      <c r="H197" s="4" t="n">
        <f aca="false">IF(E197&gt;0,1,0)</f>
        <v>0</v>
      </c>
      <c r="I197" s="4" t="n">
        <f aca="false">ROUND((D197-C197)*1440,0)</f>
        <v>0</v>
      </c>
    </row>
    <row r="198" customFormat="false" ht="15" hidden="false" customHeight="false" outlineLevel="0" collapsed="false">
      <c r="A198" s="4" t="n">
        <v>197</v>
      </c>
      <c r="B198" s="4" t="s">
        <v>42</v>
      </c>
      <c r="C198" s="13" t="n">
        <v>46293.5798611111</v>
      </c>
      <c r="D198" s="13" t="n">
        <v>46293.6180555556</v>
      </c>
      <c r="E198" s="14" t="n">
        <v>-8.64</v>
      </c>
      <c r="F198" s="4" t="n">
        <f aca="false">HOUR(C198)</f>
        <v>13</v>
      </c>
      <c r="G198" s="4" t="n">
        <f aca="false">WEEKDAY(C198,2)</f>
        <v>1</v>
      </c>
      <c r="H198" s="4" t="n">
        <f aca="false">IF(E198&gt;0,1,0)</f>
        <v>0</v>
      </c>
      <c r="I198" s="4" t="n">
        <f aca="false">ROUND((D198-C198)*1440,0)</f>
        <v>55</v>
      </c>
    </row>
    <row r="199" customFormat="false" ht="15" hidden="false" customHeight="false" outlineLevel="0" collapsed="false">
      <c r="A199" s="4" t="n">
        <v>198</v>
      </c>
      <c r="B199" s="4" t="s">
        <v>42</v>
      </c>
      <c r="C199" s="13" t="n">
        <v>46293.6701388889</v>
      </c>
      <c r="D199" s="13" t="n">
        <v>46293.8020833333</v>
      </c>
      <c r="E199" s="14" t="n">
        <v>0.39</v>
      </c>
      <c r="F199" s="4" t="n">
        <f aca="false">HOUR(C199)</f>
        <v>16</v>
      </c>
      <c r="G199" s="4" t="n">
        <f aca="false">WEEKDAY(C199,2)</f>
        <v>1</v>
      </c>
      <c r="H199" s="4" t="n">
        <f aca="false">IF(E199&gt;0,1,0)</f>
        <v>1</v>
      </c>
      <c r="I199" s="4" t="n">
        <f aca="false">ROUND((D199-C199)*1440,0)</f>
        <v>190</v>
      </c>
    </row>
    <row r="200" customFormat="false" ht="15" hidden="false" customHeight="false" outlineLevel="0" collapsed="false">
      <c r="A200" s="4" t="n">
        <v>199</v>
      </c>
      <c r="B200" s="4" t="s">
        <v>41</v>
      </c>
      <c r="C200" s="13" t="n">
        <v>46293.8020833333</v>
      </c>
      <c r="D200" s="13" t="n">
        <v>46293.84375</v>
      </c>
      <c r="E200" s="14" t="n">
        <v>6.76</v>
      </c>
      <c r="F200" s="4" t="n">
        <f aca="false">HOUR(C200)</f>
        <v>19</v>
      </c>
      <c r="G200" s="4" t="n">
        <f aca="false">WEEKDAY(C200,2)</f>
        <v>1</v>
      </c>
      <c r="H200" s="4" t="n">
        <f aca="false">IF(E200&gt;0,1,0)</f>
        <v>1</v>
      </c>
      <c r="I200" s="4" t="n">
        <f aca="false">ROUND((D200-C200)*1440,0)</f>
        <v>60</v>
      </c>
    </row>
    <row r="201" customFormat="false" ht="15" hidden="false" customHeight="false" outlineLevel="0" collapsed="false">
      <c r="A201" s="4" t="n">
        <v>200</v>
      </c>
      <c r="B201" s="4" t="s">
        <v>42</v>
      </c>
      <c r="C201" s="13" t="n">
        <v>46293.9270833333</v>
      </c>
      <c r="D201" s="13" t="n">
        <v>46293.9444444445</v>
      </c>
      <c r="E201" s="14" t="n">
        <v>-2.55</v>
      </c>
      <c r="F201" s="4" t="n">
        <f aca="false">HOUR(C201)</f>
        <v>22</v>
      </c>
      <c r="G201" s="4" t="n">
        <f aca="false">WEEKDAY(C201,2)</f>
        <v>1</v>
      </c>
      <c r="H201" s="4" t="n">
        <f aca="false">IF(E201&gt;0,1,0)</f>
        <v>0</v>
      </c>
      <c r="I201" s="4" t="n">
        <f aca="false">ROUND((D201-C201)*1440,0)</f>
        <v>25</v>
      </c>
    </row>
    <row r="202" customFormat="false" ht="15" hidden="false" customHeight="false" outlineLevel="0" collapsed="false">
      <c r="A202" s="4" t="n">
        <v>201</v>
      </c>
      <c r="B202" s="4" t="s">
        <v>41</v>
      </c>
      <c r="C202" s="13" t="n">
        <v>46293.9548611111</v>
      </c>
      <c r="D202" s="13" t="n">
        <v>46293.96875</v>
      </c>
      <c r="E202" s="14" t="n">
        <v>-2.85</v>
      </c>
      <c r="F202" s="4" t="n">
        <f aca="false">HOUR(C202)</f>
        <v>22</v>
      </c>
      <c r="G202" s="4" t="n">
        <f aca="false">WEEKDAY(C202,2)</f>
        <v>1</v>
      </c>
      <c r="H202" s="4" t="n">
        <f aca="false">IF(E202&gt;0,1,0)</f>
        <v>0</v>
      </c>
      <c r="I202" s="4" t="n">
        <f aca="false">ROUND((D202-C202)*1440,0)</f>
        <v>20</v>
      </c>
    </row>
    <row r="203" customFormat="false" ht="15" hidden="false" customHeight="false" outlineLevel="0" collapsed="false">
      <c r="A203" s="4" t="n">
        <v>202</v>
      </c>
      <c r="B203" s="4" t="s">
        <v>42</v>
      </c>
      <c r="C203" s="13" t="n">
        <v>46294.0486111111</v>
      </c>
      <c r="D203" s="13" t="n">
        <v>46294.0590277778</v>
      </c>
      <c r="E203" s="14" t="n">
        <v>-2.1</v>
      </c>
      <c r="F203" s="4" t="n">
        <f aca="false">HOUR(C203)</f>
        <v>1</v>
      </c>
      <c r="G203" s="4" t="n">
        <f aca="false">WEEKDAY(C203,2)</f>
        <v>2</v>
      </c>
      <c r="H203" s="4" t="n">
        <f aca="false">IF(E203&gt;0,1,0)</f>
        <v>0</v>
      </c>
      <c r="I203" s="4" t="n">
        <f aca="false">ROUND((D203-C203)*1440,0)</f>
        <v>15</v>
      </c>
    </row>
    <row r="204" customFormat="false" ht="15" hidden="false" customHeight="false" outlineLevel="0" collapsed="false">
      <c r="A204" s="4" t="n">
        <v>203</v>
      </c>
      <c r="B204" s="4" t="s">
        <v>41</v>
      </c>
      <c r="C204" s="13" t="n">
        <v>46294.0659722222</v>
      </c>
      <c r="D204" s="13" t="n">
        <v>46294.0659722222</v>
      </c>
      <c r="E204" s="14" t="n">
        <v>-2.53</v>
      </c>
      <c r="F204" s="4" t="n">
        <f aca="false">HOUR(C204)</f>
        <v>1</v>
      </c>
      <c r="G204" s="4" t="n">
        <f aca="false">WEEKDAY(C204,2)</f>
        <v>2</v>
      </c>
      <c r="H204" s="4" t="n">
        <f aca="false">IF(E204&gt;0,1,0)</f>
        <v>0</v>
      </c>
      <c r="I204" s="4" t="n">
        <f aca="false">ROUND((D204-C204)*1440,0)</f>
        <v>0</v>
      </c>
    </row>
    <row r="205" customFormat="false" ht="15" hidden="false" customHeight="false" outlineLevel="0" collapsed="false">
      <c r="A205" s="4" t="n">
        <v>204</v>
      </c>
      <c r="B205" s="4" t="s">
        <v>42</v>
      </c>
      <c r="C205" s="13" t="n">
        <v>46294.0763888889</v>
      </c>
      <c r="D205" s="13" t="n">
        <v>46294.1493055556</v>
      </c>
      <c r="E205" s="14" t="n">
        <v>10.08</v>
      </c>
      <c r="F205" s="4" t="n">
        <f aca="false">HOUR(C205)</f>
        <v>1</v>
      </c>
      <c r="G205" s="4" t="n">
        <f aca="false">WEEKDAY(C205,2)</f>
        <v>2</v>
      </c>
      <c r="H205" s="4" t="n">
        <f aca="false">IF(E205&gt;0,1,0)</f>
        <v>1</v>
      </c>
      <c r="I205" s="4" t="n">
        <f aca="false">ROUND((D205-C205)*1440,0)</f>
        <v>105</v>
      </c>
    </row>
    <row r="206" customFormat="false" ht="15" hidden="false" customHeight="false" outlineLevel="0" collapsed="false">
      <c r="A206" s="4" t="n">
        <v>205</v>
      </c>
      <c r="B206" s="4" t="s">
        <v>41</v>
      </c>
      <c r="C206" s="13" t="n">
        <v>46294.1597222222</v>
      </c>
      <c r="D206" s="13" t="n">
        <v>46294.2465277778</v>
      </c>
      <c r="E206" s="14" t="n">
        <v>1.5</v>
      </c>
      <c r="F206" s="4" t="n">
        <f aca="false">HOUR(C206)</f>
        <v>3</v>
      </c>
      <c r="G206" s="4" t="n">
        <f aca="false">WEEKDAY(C206,2)</f>
        <v>2</v>
      </c>
      <c r="H206" s="4" t="n">
        <f aca="false">IF(E206&gt;0,1,0)</f>
        <v>1</v>
      </c>
      <c r="I206" s="4" t="n">
        <f aca="false">ROUND((D206-C206)*1440,0)</f>
        <v>125</v>
      </c>
    </row>
    <row r="207" customFormat="false" ht="15" hidden="false" customHeight="false" outlineLevel="0" collapsed="false">
      <c r="A207" s="4" t="n">
        <v>206</v>
      </c>
      <c r="B207" s="4" t="s">
        <v>42</v>
      </c>
      <c r="C207" s="13" t="n">
        <v>46294.2465277778</v>
      </c>
      <c r="D207" s="13" t="n">
        <v>46294.2916666667</v>
      </c>
      <c r="E207" s="14" t="n">
        <v>12.06</v>
      </c>
      <c r="F207" s="4" t="n">
        <f aca="false">HOUR(C207)</f>
        <v>5</v>
      </c>
      <c r="G207" s="4" t="n">
        <f aca="false">WEEKDAY(C207,2)</f>
        <v>2</v>
      </c>
      <c r="H207" s="4" t="n">
        <f aca="false">IF(E207&gt;0,1,0)</f>
        <v>1</v>
      </c>
      <c r="I207" s="4" t="n">
        <f aca="false">ROUND((D207-C207)*1440,0)</f>
        <v>65</v>
      </c>
    </row>
    <row r="208" customFormat="false" ht="15" hidden="false" customHeight="false" outlineLevel="0" collapsed="false">
      <c r="A208" s="4" t="n">
        <v>207</v>
      </c>
      <c r="B208" s="4" t="s">
        <v>42</v>
      </c>
      <c r="C208" s="13" t="n">
        <v>46294.3819444445</v>
      </c>
      <c r="D208" s="13" t="n">
        <v>46294.3923611111</v>
      </c>
      <c r="E208" s="14" t="n">
        <v>-4.62</v>
      </c>
      <c r="F208" s="4" t="n">
        <f aca="false">HOUR(C208)</f>
        <v>9</v>
      </c>
      <c r="G208" s="4" t="n">
        <f aca="false">WEEKDAY(C208,2)</f>
        <v>2</v>
      </c>
      <c r="H208" s="4" t="n">
        <f aca="false">IF(E208&gt;0,1,0)</f>
        <v>0</v>
      </c>
      <c r="I208" s="4" t="n">
        <f aca="false">ROUND((D208-C208)*1440,0)</f>
        <v>15</v>
      </c>
    </row>
    <row r="209" customFormat="false" ht="15" hidden="false" customHeight="false" outlineLevel="0" collapsed="false">
      <c r="A209" s="4" t="n">
        <v>208</v>
      </c>
      <c r="B209" s="4" t="s">
        <v>41</v>
      </c>
      <c r="C209" s="13" t="n">
        <v>46294.4513888889</v>
      </c>
      <c r="D209" s="13" t="n">
        <v>46294.5243055556</v>
      </c>
      <c r="E209" s="14" t="n">
        <v>8.75</v>
      </c>
      <c r="F209" s="4" t="n">
        <f aca="false">HOUR(C209)</f>
        <v>10</v>
      </c>
      <c r="G209" s="4" t="n">
        <f aca="false">WEEKDAY(C209,2)</f>
        <v>2</v>
      </c>
      <c r="H209" s="4" t="n">
        <f aca="false">IF(E209&gt;0,1,0)</f>
        <v>1</v>
      </c>
      <c r="I209" s="4" t="n">
        <f aca="false">ROUND((D209-C209)*1440,0)</f>
        <v>105</v>
      </c>
    </row>
    <row r="210" customFormat="false" ht="15" hidden="false" customHeight="false" outlineLevel="0" collapsed="false">
      <c r="A210" s="4" t="n">
        <v>209</v>
      </c>
      <c r="B210" s="4" t="s">
        <v>42</v>
      </c>
      <c r="C210" s="13" t="n">
        <v>46294.5243055556</v>
      </c>
      <c r="D210" s="13" t="n">
        <v>46294.6076388889</v>
      </c>
      <c r="E210" s="14" t="n">
        <v>16.25</v>
      </c>
      <c r="F210" s="4" t="n">
        <f aca="false">HOUR(C210)</f>
        <v>12</v>
      </c>
      <c r="G210" s="4" t="n">
        <f aca="false">WEEKDAY(C210,2)</f>
        <v>2</v>
      </c>
      <c r="H210" s="4" t="n">
        <f aca="false">IF(E210&gt;0,1,0)</f>
        <v>1</v>
      </c>
      <c r="I210" s="4" t="n">
        <f aca="false">ROUND((D210-C210)*1440,0)</f>
        <v>120</v>
      </c>
    </row>
    <row r="211" customFormat="false" ht="15" hidden="false" customHeight="false" outlineLevel="0" collapsed="false">
      <c r="A211" s="4" t="n">
        <v>210</v>
      </c>
      <c r="B211" s="4" t="s">
        <v>42</v>
      </c>
      <c r="C211" s="13" t="n">
        <v>46294.6909722222</v>
      </c>
      <c r="D211" s="13" t="n">
        <v>46294.7916666667</v>
      </c>
      <c r="E211" s="14" t="n">
        <v>2.25</v>
      </c>
      <c r="F211" s="4" t="n">
        <f aca="false">HOUR(C211)</f>
        <v>16</v>
      </c>
      <c r="G211" s="4" t="n">
        <f aca="false">WEEKDAY(C211,2)</f>
        <v>2</v>
      </c>
      <c r="H211" s="4" t="n">
        <f aca="false">IF(E211&gt;0,1,0)</f>
        <v>1</v>
      </c>
      <c r="I211" s="4" t="n">
        <f aca="false">ROUND((D211-C211)*1440,0)</f>
        <v>145</v>
      </c>
    </row>
    <row r="212" customFormat="false" ht="15" hidden="false" customHeight="false" outlineLevel="0" collapsed="false">
      <c r="A212" s="4" t="n">
        <v>211</v>
      </c>
      <c r="B212" s="4" t="s">
        <v>41</v>
      </c>
      <c r="C212" s="13" t="n">
        <v>46294.7916666667</v>
      </c>
      <c r="D212" s="13" t="n">
        <v>46294.8159722222</v>
      </c>
      <c r="E212" s="14" t="n">
        <v>-2.35</v>
      </c>
      <c r="F212" s="4" t="n">
        <f aca="false">HOUR(C212)</f>
        <v>19</v>
      </c>
      <c r="G212" s="4" t="n">
        <f aca="false">WEEKDAY(C212,2)</f>
        <v>2</v>
      </c>
      <c r="H212" s="4" t="n">
        <f aca="false">IF(E212&gt;0,1,0)</f>
        <v>0</v>
      </c>
      <c r="I212" s="4" t="n">
        <f aca="false">ROUND((D212-C212)*1440,0)</f>
        <v>35</v>
      </c>
    </row>
    <row r="213" customFormat="false" ht="15" hidden="false" customHeight="false" outlineLevel="0" collapsed="false">
      <c r="A213" s="4" t="n">
        <v>212</v>
      </c>
      <c r="B213" s="4" t="s">
        <v>41</v>
      </c>
      <c r="C213" s="13" t="n">
        <v>46294.8923611111</v>
      </c>
      <c r="D213" s="13" t="n">
        <v>46294.8958333333</v>
      </c>
      <c r="E213" s="14" t="n">
        <v>-2.36</v>
      </c>
      <c r="F213" s="4" t="n">
        <f aca="false">HOUR(C213)</f>
        <v>21</v>
      </c>
      <c r="G213" s="4" t="n">
        <f aca="false">WEEKDAY(C213,2)</f>
        <v>2</v>
      </c>
      <c r="H213" s="4" t="n">
        <f aca="false">IF(E213&gt;0,1,0)</f>
        <v>0</v>
      </c>
      <c r="I213" s="4" t="n">
        <f aca="false">ROUND((D213-C213)*1440,0)</f>
        <v>5</v>
      </c>
    </row>
    <row r="214" customFormat="false" ht="15" hidden="false" customHeight="false" outlineLevel="0" collapsed="false">
      <c r="A214" s="4" t="n">
        <v>213</v>
      </c>
      <c r="B214" s="4" t="s">
        <v>42</v>
      </c>
      <c r="C214" s="13" t="n">
        <v>46294.9131944445</v>
      </c>
      <c r="D214" s="13" t="n">
        <v>46295.0486111111</v>
      </c>
      <c r="E214" s="14" t="n">
        <v>4.2</v>
      </c>
      <c r="F214" s="4" t="n">
        <f aca="false">HOUR(C214)</f>
        <v>21</v>
      </c>
      <c r="G214" s="4" t="n">
        <f aca="false">WEEKDAY(C214,2)</f>
        <v>2</v>
      </c>
      <c r="H214" s="4" t="n">
        <f aca="false">IF(E214&gt;0,1,0)</f>
        <v>1</v>
      </c>
      <c r="I214" s="4" t="n">
        <f aca="false">ROUND((D214-C214)*1440,0)</f>
        <v>195</v>
      </c>
    </row>
    <row r="215" customFormat="false" ht="15" hidden="false" customHeight="false" outlineLevel="0" collapsed="false">
      <c r="A215" s="4" t="n">
        <v>214</v>
      </c>
      <c r="B215" s="4" t="s">
        <v>41</v>
      </c>
      <c r="C215" s="13" t="n">
        <v>46295.1076388889</v>
      </c>
      <c r="D215" s="13" t="n">
        <v>46295.125</v>
      </c>
      <c r="E215" s="14" t="n">
        <v>-2.9</v>
      </c>
      <c r="F215" s="4" t="n">
        <f aca="false">HOUR(C215)</f>
        <v>2</v>
      </c>
      <c r="G215" s="4" t="n">
        <f aca="false">WEEKDAY(C215,2)</f>
        <v>3</v>
      </c>
      <c r="H215" s="4" t="n">
        <f aca="false">IF(E215&gt;0,1,0)</f>
        <v>0</v>
      </c>
      <c r="I215" s="4" t="n">
        <f aca="false">ROUND((D215-C215)*1440,0)</f>
        <v>25</v>
      </c>
    </row>
    <row r="216" customFormat="false" ht="15" hidden="false" customHeight="false" outlineLevel="0" collapsed="false">
      <c r="A216" s="4" t="n">
        <v>215</v>
      </c>
      <c r="B216" s="4" t="s">
        <v>42</v>
      </c>
      <c r="C216" s="13" t="n">
        <v>46295.1354166667</v>
      </c>
      <c r="D216" s="13" t="n">
        <v>46295.1423611111</v>
      </c>
      <c r="E216" s="14" t="n">
        <v>-3.95</v>
      </c>
      <c r="F216" s="4" t="n">
        <f aca="false">HOUR(C216)</f>
        <v>3</v>
      </c>
      <c r="G216" s="4" t="n">
        <f aca="false">WEEKDAY(C216,2)</f>
        <v>3</v>
      </c>
      <c r="H216" s="4" t="n">
        <f aca="false">IF(E216&gt;0,1,0)</f>
        <v>0</v>
      </c>
      <c r="I216" s="4" t="n">
        <f aca="false">ROUND((D216-C216)*1440,0)</f>
        <v>10</v>
      </c>
    </row>
    <row r="217" customFormat="false" ht="15" hidden="false" customHeight="false" outlineLevel="0" collapsed="false">
      <c r="A217" s="4" t="n">
        <v>216</v>
      </c>
      <c r="B217" s="4" t="s">
        <v>42</v>
      </c>
      <c r="C217" s="13" t="n">
        <v>46295.3020833333</v>
      </c>
      <c r="D217" s="13" t="n">
        <v>46295.3541666667</v>
      </c>
      <c r="E217" s="14" t="n">
        <v>30.5</v>
      </c>
      <c r="F217" s="4" t="n">
        <f aca="false">HOUR(C217)</f>
        <v>7</v>
      </c>
      <c r="G217" s="4" t="n">
        <f aca="false">WEEKDAY(C217,2)</f>
        <v>3</v>
      </c>
      <c r="H217" s="4" t="n">
        <f aca="false">IF(E217&gt;0,1,0)</f>
        <v>1</v>
      </c>
      <c r="I217" s="4" t="n">
        <f aca="false">ROUND((D217-C217)*1440,0)</f>
        <v>75</v>
      </c>
    </row>
    <row r="218" customFormat="false" ht="15" hidden="false" customHeight="false" outlineLevel="0" collapsed="false">
      <c r="A218" s="4" t="n">
        <v>217</v>
      </c>
      <c r="B218" s="4" t="s">
        <v>41</v>
      </c>
      <c r="C218" s="13" t="n">
        <v>46295.4340277778</v>
      </c>
      <c r="D218" s="13" t="n">
        <v>46295.4548611111</v>
      </c>
      <c r="E218" s="14" t="n">
        <v>-2.9</v>
      </c>
      <c r="F218" s="4" t="n">
        <f aca="false">HOUR(C218)</f>
        <v>10</v>
      </c>
      <c r="G218" s="4" t="n">
        <f aca="false">WEEKDAY(C218,2)</f>
        <v>3</v>
      </c>
      <c r="H218" s="4" t="n">
        <f aca="false">IF(E218&gt;0,1,0)</f>
        <v>0</v>
      </c>
      <c r="I218" s="4" t="n">
        <f aca="false">ROUND((D218-C218)*1440,0)</f>
        <v>30</v>
      </c>
    </row>
    <row r="219" customFormat="false" ht="15" hidden="false" customHeight="false" outlineLevel="0" collapsed="false">
      <c r="A219" s="4" t="n">
        <v>218</v>
      </c>
      <c r="B219" s="4" t="s">
        <v>42</v>
      </c>
      <c r="C219" s="13" t="n">
        <v>46295.4548611111</v>
      </c>
      <c r="D219" s="13" t="n">
        <v>46295.4652777778</v>
      </c>
      <c r="E219" s="14" t="n">
        <v>-9.59</v>
      </c>
      <c r="F219" s="4" t="n">
        <f aca="false">HOUR(C219)</f>
        <v>10</v>
      </c>
      <c r="G219" s="4" t="n">
        <f aca="false">WEEKDAY(C219,2)</f>
        <v>3</v>
      </c>
      <c r="H219" s="4" t="n">
        <f aca="false">IF(E219&gt;0,1,0)</f>
        <v>0</v>
      </c>
      <c r="I219" s="4" t="n">
        <f aca="false">ROUND((D219-C219)*1440,0)</f>
        <v>15</v>
      </c>
    </row>
    <row r="220" customFormat="false" ht="15" hidden="false" customHeight="false" outlineLevel="0" collapsed="false">
      <c r="A220" s="4" t="n">
        <v>219</v>
      </c>
      <c r="B220" s="4" t="s">
        <v>42</v>
      </c>
      <c r="C220" s="13" t="n">
        <v>46295.53125</v>
      </c>
      <c r="D220" s="13" t="n">
        <v>46295.5347222222</v>
      </c>
      <c r="E220" s="14" t="n">
        <v>-4.22</v>
      </c>
      <c r="F220" s="4" t="n">
        <f aca="false">HOUR(C220)</f>
        <v>12</v>
      </c>
      <c r="G220" s="4" t="n">
        <f aca="false">WEEKDAY(C220,2)</f>
        <v>3</v>
      </c>
      <c r="H220" s="4" t="n">
        <f aca="false">IF(E220&gt;0,1,0)</f>
        <v>0</v>
      </c>
      <c r="I220" s="4" t="n">
        <f aca="false">ROUND((D220-C220)*1440,0)</f>
        <v>5</v>
      </c>
    </row>
    <row r="221" customFormat="false" ht="15" hidden="false" customHeight="false" outlineLevel="0" collapsed="false">
      <c r="A221" s="4" t="n">
        <v>220</v>
      </c>
      <c r="B221" s="4" t="s">
        <v>41</v>
      </c>
      <c r="C221" s="13" t="n">
        <v>46295.5347222222</v>
      </c>
      <c r="D221" s="13" t="n">
        <v>46295.6493055556</v>
      </c>
      <c r="E221" s="14" t="n">
        <v>21.2</v>
      </c>
      <c r="F221" s="4" t="n">
        <f aca="false">HOUR(C221)</f>
        <v>12</v>
      </c>
      <c r="G221" s="4" t="n">
        <f aca="false">WEEKDAY(C221,2)</f>
        <v>3</v>
      </c>
      <c r="H221" s="4" t="n">
        <f aca="false">IF(E221&gt;0,1,0)</f>
        <v>1</v>
      </c>
      <c r="I221" s="4" t="n">
        <f aca="false">ROUND((D221-C221)*1440,0)</f>
        <v>165</v>
      </c>
    </row>
    <row r="222" customFormat="false" ht="15" hidden="false" customHeight="false" outlineLevel="0" collapsed="false">
      <c r="A222" s="4" t="n">
        <v>221</v>
      </c>
      <c r="B222" s="4" t="s">
        <v>41</v>
      </c>
      <c r="C222" s="13" t="n">
        <v>46295.65625</v>
      </c>
      <c r="D222" s="13" t="n">
        <v>46295.6666666667</v>
      </c>
      <c r="E222" s="14" t="n">
        <v>14.61</v>
      </c>
      <c r="F222" s="4" t="n">
        <f aca="false">HOUR(C222)</f>
        <v>15</v>
      </c>
      <c r="G222" s="4" t="n">
        <f aca="false">WEEKDAY(C222,2)</f>
        <v>3</v>
      </c>
      <c r="H222" s="4" t="n">
        <f aca="false">IF(E222&gt;0,1,0)</f>
        <v>1</v>
      </c>
      <c r="I222" s="4" t="n">
        <f aca="false">ROUND((D222-C222)*1440,0)</f>
        <v>15</v>
      </c>
    </row>
    <row r="223" customFormat="false" ht="15" hidden="false" customHeight="false" outlineLevel="0" collapsed="false">
      <c r="A223" s="4" t="n">
        <v>222</v>
      </c>
      <c r="B223" s="4" t="s">
        <v>42</v>
      </c>
      <c r="C223" s="13" t="n">
        <v>46295.7048611111</v>
      </c>
      <c r="D223" s="13" t="n">
        <v>46295.8333333333</v>
      </c>
      <c r="E223" s="14" t="n">
        <v>9</v>
      </c>
      <c r="F223" s="4" t="n">
        <f aca="false">HOUR(C223)</f>
        <v>16</v>
      </c>
      <c r="G223" s="4" t="n">
        <f aca="false">WEEKDAY(C223,2)</f>
        <v>3</v>
      </c>
      <c r="H223" s="4" t="n">
        <f aca="false">IF(E223&gt;0,1,0)</f>
        <v>1</v>
      </c>
      <c r="I223" s="4" t="n">
        <f aca="false">ROUND((D223-C223)*1440,0)</f>
        <v>185</v>
      </c>
    </row>
    <row r="224" customFormat="false" ht="15" hidden="false" customHeight="false" outlineLevel="0" collapsed="false">
      <c r="A224" s="4" t="n">
        <v>223</v>
      </c>
      <c r="B224" s="4" t="s">
        <v>41</v>
      </c>
      <c r="C224" s="13" t="n">
        <v>46295.8854166667</v>
      </c>
      <c r="D224" s="13" t="n">
        <v>46295.9548611111</v>
      </c>
      <c r="E224" s="14" t="n">
        <v>0.85</v>
      </c>
      <c r="F224" s="4" t="n">
        <f aca="false">HOUR(C224)</f>
        <v>21</v>
      </c>
      <c r="G224" s="4" t="n">
        <f aca="false">WEEKDAY(C224,2)</f>
        <v>3</v>
      </c>
      <c r="H224" s="4" t="n">
        <f aca="false">IF(E224&gt;0,1,0)</f>
        <v>1</v>
      </c>
      <c r="I224" s="4" t="n">
        <f aca="false">ROUND((D224-C224)*1440,0)</f>
        <v>100</v>
      </c>
    </row>
    <row r="225" customFormat="false" ht="15" hidden="false" customHeight="false" outlineLevel="0" collapsed="false">
      <c r="A225" s="4" t="n">
        <v>224</v>
      </c>
      <c r="B225" s="4" t="s">
        <v>42</v>
      </c>
      <c r="C225" s="13" t="n">
        <v>46295.9548611111</v>
      </c>
      <c r="D225" s="13" t="n">
        <v>46296.03125</v>
      </c>
      <c r="E225" s="14" t="n">
        <v>8.64</v>
      </c>
      <c r="F225" s="4" t="n">
        <f aca="false">HOUR(C225)</f>
        <v>22</v>
      </c>
      <c r="G225" s="4" t="n">
        <f aca="false">WEEKDAY(C225,2)</f>
        <v>3</v>
      </c>
      <c r="H225" s="4" t="n">
        <f aca="false">IF(E225&gt;0,1,0)</f>
        <v>1</v>
      </c>
      <c r="I225" s="4" t="n">
        <f aca="false">ROUND((D225-C225)*1440,0)</f>
        <v>110</v>
      </c>
    </row>
    <row r="226" customFormat="false" ht="15" hidden="false" customHeight="false" outlineLevel="0" collapsed="false">
      <c r="A226" s="4" t="n">
        <v>225</v>
      </c>
      <c r="B226" s="4" t="s">
        <v>41</v>
      </c>
      <c r="C226" s="13" t="n">
        <v>46296.1388888889</v>
      </c>
      <c r="D226" s="13" t="n">
        <v>46296.1875</v>
      </c>
      <c r="E226" s="14" t="n">
        <v>16.58</v>
      </c>
      <c r="F226" s="4" t="n">
        <f aca="false">HOUR(C226)</f>
        <v>3</v>
      </c>
      <c r="G226" s="4" t="n">
        <f aca="false">WEEKDAY(C226,2)</f>
        <v>4</v>
      </c>
      <c r="H226" s="4" t="n">
        <f aca="false">IF(E226&gt;0,1,0)</f>
        <v>1</v>
      </c>
      <c r="I226" s="4" t="n">
        <f aca="false">ROUND((D226-C226)*1440,0)</f>
        <v>70</v>
      </c>
    </row>
    <row r="227" customFormat="false" ht="15" hidden="false" customHeight="false" outlineLevel="0" collapsed="false">
      <c r="A227" s="4" t="n">
        <v>226</v>
      </c>
      <c r="B227" s="4" t="s">
        <v>42</v>
      </c>
      <c r="C227" s="13" t="n">
        <v>46296.1944444445</v>
      </c>
      <c r="D227" s="13" t="n">
        <v>46296.2708333333</v>
      </c>
      <c r="E227" s="14" t="n">
        <v>22.97</v>
      </c>
      <c r="F227" s="4" t="n">
        <f aca="false">HOUR(C227)</f>
        <v>4</v>
      </c>
      <c r="G227" s="4" t="n">
        <f aca="false">WEEKDAY(C227,2)</f>
        <v>4</v>
      </c>
      <c r="H227" s="4" t="n">
        <f aca="false">IF(E227&gt;0,1,0)</f>
        <v>1</v>
      </c>
      <c r="I227" s="4" t="n">
        <f aca="false">ROUND((D227-C227)*1440,0)</f>
        <v>110</v>
      </c>
    </row>
    <row r="228" customFormat="false" ht="15" hidden="false" customHeight="false" outlineLevel="0" collapsed="false">
      <c r="A228" s="4" t="n">
        <v>227</v>
      </c>
      <c r="B228" s="4" t="s">
        <v>42</v>
      </c>
      <c r="C228" s="13" t="n">
        <v>46296.28125</v>
      </c>
      <c r="D228" s="13" t="n">
        <v>46296.3715277778</v>
      </c>
      <c r="E228" s="14" t="n">
        <v>11.88</v>
      </c>
      <c r="F228" s="4" t="n">
        <f aca="false">HOUR(C228)</f>
        <v>6</v>
      </c>
      <c r="G228" s="4" t="n">
        <f aca="false">WEEKDAY(C228,2)</f>
        <v>4</v>
      </c>
      <c r="H228" s="4" t="n">
        <f aca="false">IF(E228&gt;0,1,0)</f>
        <v>1</v>
      </c>
      <c r="I228" s="4" t="n">
        <f aca="false">ROUND((D228-C228)*1440,0)</f>
        <v>130</v>
      </c>
    </row>
    <row r="229" customFormat="false" ht="15" hidden="false" customHeight="false" outlineLevel="0" collapsed="false">
      <c r="A229" s="4" t="n">
        <v>228</v>
      </c>
      <c r="B229" s="4" t="s">
        <v>41</v>
      </c>
      <c r="C229" s="13" t="n">
        <v>46296.3715277778</v>
      </c>
      <c r="D229" s="13" t="n">
        <v>46296.3993055556</v>
      </c>
      <c r="E229" s="14" t="n">
        <v>-6.32</v>
      </c>
      <c r="F229" s="4" t="n">
        <f aca="false">HOUR(C229)</f>
        <v>8</v>
      </c>
      <c r="G229" s="4" t="n">
        <f aca="false">WEEKDAY(C229,2)</f>
        <v>4</v>
      </c>
      <c r="H229" s="4" t="n">
        <f aca="false">IF(E229&gt;0,1,0)</f>
        <v>0</v>
      </c>
      <c r="I229" s="4" t="n">
        <f aca="false">ROUND((D229-C229)*1440,0)</f>
        <v>40</v>
      </c>
    </row>
    <row r="230" customFormat="false" ht="15" hidden="false" customHeight="false" outlineLevel="0" collapsed="false">
      <c r="A230" s="4" t="n">
        <v>229</v>
      </c>
      <c r="B230" s="4" t="s">
        <v>42</v>
      </c>
      <c r="C230" s="13" t="n">
        <v>46296.46875</v>
      </c>
      <c r="D230" s="13" t="n">
        <v>46296.5625</v>
      </c>
      <c r="E230" s="14" t="n">
        <v>36.34</v>
      </c>
      <c r="F230" s="4" t="n">
        <f aca="false">HOUR(C230)</f>
        <v>11</v>
      </c>
      <c r="G230" s="4" t="n">
        <f aca="false">WEEKDAY(C230,2)</f>
        <v>4</v>
      </c>
      <c r="H230" s="4" t="n">
        <f aca="false">IF(E230&gt;0,1,0)</f>
        <v>1</v>
      </c>
      <c r="I230" s="4" t="n">
        <f aca="false">ROUND((D230-C230)*1440,0)</f>
        <v>135</v>
      </c>
    </row>
    <row r="231" customFormat="false" ht="15" hidden="false" customHeight="false" outlineLevel="0" collapsed="false">
      <c r="A231" s="4" t="n">
        <v>230</v>
      </c>
      <c r="B231" s="4" t="s">
        <v>42</v>
      </c>
      <c r="C231" s="13" t="n">
        <v>46296.5659722222</v>
      </c>
      <c r="D231" s="13" t="n">
        <v>46296.5798611111</v>
      </c>
      <c r="E231" s="14" t="n">
        <v>-9.22</v>
      </c>
      <c r="F231" s="4" t="n">
        <f aca="false">HOUR(C231)</f>
        <v>13</v>
      </c>
      <c r="G231" s="4" t="n">
        <f aca="false">WEEKDAY(C231,2)</f>
        <v>4</v>
      </c>
      <c r="H231" s="4" t="n">
        <f aca="false">IF(E231&gt;0,1,0)</f>
        <v>0</v>
      </c>
      <c r="I231" s="4" t="n">
        <f aca="false">ROUND((D231-C231)*1440,0)</f>
        <v>20</v>
      </c>
    </row>
    <row r="232" customFormat="false" ht="15" hidden="false" customHeight="false" outlineLevel="0" collapsed="false">
      <c r="A232" s="4" t="n">
        <v>231</v>
      </c>
      <c r="B232" s="4" t="s">
        <v>41</v>
      </c>
      <c r="C232" s="13" t="n">
        <v>46296.5833333333</v>
      </c>
      <c r="D232" s="13" t="n">
        <v>46296.6041666667</v>
      </c>
      <c r="E232" s="14" t="n">
        <v>-8.88</v>
      </c>
      <c r="F232" s="4" t="n">
        <f aca="false">HOUR(C232)</f>
        <v>14</v>
      </c>
      <c r="G232" s="4" t="n">
        <f aca="false">WEEKDAY(C232,2)</f>
        <v>4</v>
      </c>
      <c r="H232" s="4" t="n">
        <f aca="false">IF(E232&gt;0,1,0)</f>
        <v>0</v>
      </c>
      <c r="I232" s="4" t="n">
        <f aca="false">ROUND((D232-C232)*1440,0)</f>
        <v>30</v>
      </c>
    </row>
    <row r="234" customFormat="false" ht="15" hidden="false" customHeight="false" outlineLevel="0" collapsed="false">
      <c r="A234" s="15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5" min="5" style="0" width="16"/>
    <col collapsed="false" customWidth="true" hidden="false" outlineLevel="0" max="6" min="6" style="0" width="17"/>
    <col collapsed="false" customWidth="true" hidden="false" outlineLevel="0" max="7" min="7" style="0" width="18"/>
  </cols>
  <sheetData>
    <row r="1" customFormat="false" ht="16.15" hidden="false" customHeight="false" outlineLevel="0" collapsed="false">
      <c r="A1" s="16" t="s">
        <v>44</v>
      </c>
    </row>
    <row r="3" customFormat="false" ht="26.85" hidden="false" customHeight="false" outlineLevel="0" collapsed="false">
      <c r="A3" s="3" t="s">
        <v>45</v>
      </c>
      <c r="B3" s="3" t="s">
        <v>46</v>
      </c>
      <c r="C3" s="3" t="s">
        <v>47</v>
      </c>
      <c r="D3" s="3" t="s">
        <v>48</v>
      </c>
      <c r="E3" s="3" t="s">
        <v>36</v>
      </c>
      <c r="F3" s="3" t="s">
        <v>49</v>
      </c>
      <c r="G3" s="3" t="s">
        <v>50</v>
      </c>
    </row>
    <row r="4" customFormat="false" ht="15" hidden="false" customHeight="false" outlineLevel="0" collapsed="false">
      <c r="A4" s="4" t="n">
        <v>0</v>
      </c>
      <c r="B4" s="4" t="n">
        <f aca="false">COUNTIF(Operaciones!$F$2:$F$232,A4)</f>
        <v>8</v>
      </c>
      <c r="C4" s="4" t="n">
        <f aca="false">COUNTIFS(Operaciones!$F$2:$F$232,A4,Operaciones!$E$2:$E$232,"&gt;0")</f>
        <v>3</v>
      </c>
      <c r="D4" s="17" t="n">
        <f aca="false">IF(B4=0,"-",C4/B4)</f>
        <v>0.375</v>
      </c>
      <c r="E4" s="18" t="n">
        <f aca="false">SUMIF(Operaciones!$F$2:$F$232,A4,Operaciones!$E$2:$E$232)</f>
        <v>5.95</v>
      </c>
      <c r="F4" s="19" t="n">
        <f aca="false">IF(SUMIFS(Operaciones!$E$2:$E$232,Operaciones!$F$2:$F$232,A4,Operaciones!$E$2:$E$232,"&lt;0")=0,"-",SUMIFS(Operaciones!$E$2:$E$232,Operaciones!$F$2:$F$232,A4,Operaciones!$E$2:$E$232,"&gt;0")/-SUMIFS(Operaciones!$E$2:$E$232,Operaciones!$F$2:$F$232,A4,Operaciones!$E$2:$E$232,"&lt;0"))</f>
        <v>1.75507614213198</v>
      </c>
      <c r="G4" s="4" t="str">
        <f aca="false">IF(B4&lt;4,"muestra mínima",IF(F4="-","-",IF(F4&lt;0.7,"débil",IF(F4&gt;1.5,"fuerte",""))))</f>
        <v>fuerte</v>
      </c>
    </row>
    <row r="5" customFormat="false" ht="15" hidden="false" customHeight="false" outlineLevel="0" collapsed="false">
      <c r="A5" s="4" t="n">
        <v>1</v>
      </c>
      <c r="B5" s="4" t="n">
        <f aca="false">COUNTIF(Operaciones!$F$2:$F$232,A5)</f>
        <v>6</v>
      </c>
      <c r="C5" s="4" t="n">
        <f aca="false">COUNTIFS(Operaciones!$F$2:$F$232,A5,Operaciones!$E$2:$E$232,"&gt;0")</f>
        <v>3</v>
      </c>
      <c r="D5" s="17" t="n">
        <f aca="false">IF(B5=0,"-",C5/B5)</f>
        <v>0.5</v>
      </c>
      <c r="E5" s="18" t="n">
        <f aca="false">SUMIF(Operaciones!$F$2:$F$232,A5,Operaciones!$E$2:$E$232)</f>
        <v>13.29</v>
      </c>
      <c r="F5" s="19" t="n">
        <f aca="false">IF(SUMIFS(Operaciones!$E$2:$E$232,Operaciones!$F$2:$F$232,A5,Operaciones!$E$2:$E$232,"&lt;0")=0,"-",SUMIFS(Operaciones!$E$2:$E$232,Operaciones!$F$2:$F$232,A5,Operaciones!$E$2:$E$232,"&gt;0")/-SUMIFS(Operaciones!$E$2:$E$232,Operaciones!$F$2:$F$232,A5,Operaciones!$E$2:$E$232,"&lt;0"))</f>
        <v>2.95729013254786</v>
      </c>
      <c r="G5" s="4" t="str">
        <f aca="false">IF(B5&lt;4,"muestra mínima",IF(F5="-","-",IF(F5&lt;0.7,"débil",IF(F5&gt;1.5,"fuerte",""))))</f>
        <v>fuerte</v>
      </c>
    </row>
    <row r="6" customFormat="false" ht="15" hidden="false" customHeight="false" outlineLevel="0" collapsed="false">
      <c r="A6" s="4" t="n">
        <v>2</v>
      </c>
      <c r="B6" s="4" t="n">
        <f aca="false">COUNTIF(Operaciones!$F$2:$F$232,A6)</f>
        <v>12</v>
      </c>
      <c r="C6" s="4" t="n">
        <f aca="false">COUNTIFS(Operaciones!$F$2:$F$232,A6,Operaciones!$E$2:$E$232,"&gt;0")</f>
        <v>1</v>
      </c>
      <c r="D6" s="17" t="n">
        <f aca="false">IF(B6=0,"-",C6/B6)</f>
        <v>0.0833333333333333</v>
      </c>
      <c r="E6" s="18" t="n">
        <f aca="false">SUMIF(Operaciones!$F$2:$F$232,A6,Operaciones!$E$2:$E$232)</f>
        <v>-21.55</v>
      </c>
      <c r="F6" s="19" t="n">
        <f aca="false">IF(SUMIFS(Operaciones!$E$2:$E$232,Operaciones!$F$2:$F$232,A6,Operaciones!$E$2:$E$232,"&lt;0")=0,"-",SUMIFS(Operaciones!$E$2:$E$232,Operaciones!$F$2:$F$232,A6,Operaciones!$E$2:$E$232,"&gt;0")/-SUMIFS(Operaciones!$E$2:$E$232,Operaciones!$F$2:$F$232,A6,Operaciones!$E$2:$E$232,"&lt;0"))</f>
        <v>0.210333455478197</v>
      </c>
      <c r="G6" s="4" t="str">
        <f aca="false">IF(B6&lt;4,"muestra mínima",IF(F6="-","-",IF(F6&lt;0.7,"débil",IF(F6&gt;1.5,"fuerte",""))))</f>
        <v>débil</v>
      </c>
    </row>
    <row r="7" customFormat="false" ht="15" hidden="false" customHeight="false" outlineLevel="0" collapsed="false">
      <c r="A7" s="4" t="n">
        <v>3</v>
      </c>
      <c r="B7" s="4" t="n">
        <f aca="false">COUNTIF(Operaciones!$F$2:$F$232,A7)</f>
        <v>15</v>
      </c>
      <c r="C7" s="4" t="n">
        <f aca="false">COUNTIFS(Operaciones!$F$2:$F$232,A7,Operaciones!$E$2:$E$232,"&gt;0")</f>
        <v>5</v>
      </c>
      <c r="D7" s="17" t="n">
        <f aca="false">IF(B7=0,"-",C7/B7)</f>
        <v>0.333333333333333</v>
      </c>
      <c r="E7" s="18" t="n">
        <f aca="false">SUMIF(Operaciones!$F$2:$F$232,A7,Operaciones!$E$2:$E$232)</f>
        <v>17.16</v>
      </c>
      <c r="F7" s="19" t="n">
        <f aca="false">IF(SUMIFS(Operaciones!$E$2:$E$232,Operaciones!$F$2:$F$232,A7,Operaciones!$E$2:$E$232,"&lt;0")=0,"-",SUMIFS(Operaciones!$E$2:$E$232,Operaciones!$F$2:$F$232,A7,Operaciones!$E$2:$E$232,"&gt;0")/-SUMIFS(Operaciones!$E$2:$E$232,Operaciones!$F$2:$F$232,A7,Operaciones!$E$2:$E$232,"&lt;0"))</f>
        <v>1.60700389105058</v>
      </c>
      <c r="G7" s="4" t="str">
        <f aca="false">IF(B7&lt;4,"muestra mínima",IF(F7="-","-",IF(F7&lt;0.7,"débil",IF(F7&gt;1.5,"fuerte",""))))</f>
        <v>fuerte</v>
      </c>
    </row>
    <row r="8" customFormat="false" ht="15" hidden="false" customHeight="false" outlineLevel="0" collapsed="false">
      <c r="A8" s="4" t="n">
        <v>4</v>
      </c>
      <c r="B8" s="4" t="n">
        <f aca="false">COUNTIF(Operaciones!$F$2:$F$232,A8)</f>
        <v>9</v>
      </c>
      <c r="C8" s="4" t="n">
        <f aca="false">COUNTIFS(Operaciones!$F$2:$F$232,A8,Operaciones!$E$2:$E$232,"&gt;0")</f>
        <v>4</v>
      </c>
      <c r="D8" s="17" t="n">
        <f aca="false">IF(B8=0,"-",C8/B8)</f>
        <v>0.444444444444444</v>
      </c>
      <c r="E8" s="18" t="n">
        <f aca="false">SUMIF(Operaciones!$F$2:$F$232,A8,Operaciones!$E$2:$E$232)</f>
        <v>35.44</v>
      </c>
      <c r="F8" s="19" t="n">
        <f aca="false">IF(SUMIFS(Operaciones!$E$2:$E$232,Operaciones!$F$2:$F$232,A8,Operaciones!$E$2:$E$232,"&lt;0")=0,"-",SUMIFS(Operaciones!$E$2:$E$232,Operaciones!$F$2:$F$232,A8,Operaciones!$E$2:$E$232,"&gt;0")/-SUMIFS(Operaciones!$E$2:$E$232,Operaciones!$F$2:$F$232,A8,Operaciones!$E$2:$E$232,"&lt;0"))</f>
        <v>3.66466165413534</v>
      </c>
      <c r="G8" s="4" t="str">
        <f aca="false">IF(B8&lt;4,"muestra mínima",IF(F8="-","-",IF(F8&lt;0.7,"débil",IF(F8&gt;1.5,"fuerte",""))))</f>
        <v>fuerte</v>
      </c>
    </row>
    <row r="9" customFormat="false" ht="15" hidden="false" customHeight="false" outlineLevel="0" collapsed="false">
      <c r="A9" s="4" t="n">
        <v>5</v>
      </c>
      <c r="B9" s="4" t="n">
        <f aca="false">COUNTIF(Operaciones!$F$2:$F$232,A9)</f>
        <v>8</v>
      </c>
      <c r="C9" s="4" t="n">
        <f aca="false">COUNTIFS(Operaciones!$F$2:$F$232,A9,Operaciones!$E$2:$E$232,"&gt;0")</f>
        <v>2</v>
      </c>
      <c r="D9" s="17" t="n">
        <f aca="false">IF(B9=0,"-",C9/B9)</f>
        <v>0.25</v>
      </c>
      <c r="E9" s="18" t="n">
        <f aca="false">SUMIF(Operaciones!$F$2:$F$232,A9,Operaciones!$E$2:$E$232)</f>
        <v>-6.16</v>
      </c>
      <c r="F9" s="19" t="n">
        <f aca="false">IF(SUMIFS(Operaciones!$E$2:$E$232,Operaciones!$F$2:$F$232,A9,Operaciones!$E$2:$E$232,"&lt;0")=0,"-",SUMIFS(Operaciones!$E$2:$E$232,Operaciones!$F$2:$F$232,A9,Operaciones!$E$2:$E$232,"&gt;0")/-SUMIFS(Operaciones!$E$2:$E$232,Operaciones!$F$2:$F$232,A9,Operaciones!$E$2:$E$232,"&lt;0"))</f>
        <v>0.786629719431936</v>
      </c>
      <c r="G9" s="4" t="str">
        <f aca="false">IF(B9&lt;4,"muestra mínima",IF(F9="-","-",IF(F9&lt;0.7,"débil",IF(F9&gt;1.5,"fuerte",""))))</f>
        <v/>
      </c>
    </row>
    <row r="10" customFormat="false" ht="15" hidden="false" customHeight="false" outlineLevel="0" collapsed="false">
      <c r="A10" s="4" t="n">
        <v>6</v>
      </c>
      <c r="B10" s="4" t="n">
        <f aca="false">COUNTIF(Operaciones!$F$2:$F$232,A10)</f>
        <v>7</v>
      </c>
      <c r="C10" s="4" t="n">
        <f aca="false">COUNTIFS(Operaciones!$F$2:$F$232,A10,Operaciones!$E$2:$E$232,"&gt;0")</f>
        <v>3</v>
      </c>
      <c r="D10" s="17" t="n">
        <f aca="false">IF(B10=0,"-",C10/B10)</f>
        <v>0.428571428571429</v>
      </c>
      <c r="E10" s="18" t="n">
        <f aca="false">SUMIF(Operaciones!$F$2:$F$232,A10,Operaciones!$E$2:$E$232)</f>
        <v>6.24</v>
      </c>
      <c r="F10" s="19" t="n">
        <f aca="false">IF(SUMIFS(Operaciones!$E$2:$E$232,Operaciones!$F$2:$F$232,A10,Operaciones!$E$2:$E$232,"&lt;0")=0,"-",SUMIFS(Operaciones!$E$2:$E$232,Operaciones!$F$2:$F$232,A10,Operaciones!$E$2:$E$232,"&gt;0")/-SUMIFS(Operaciones!$E$2:$E$232,Operaciones!$F$2:$F$232,A10,Operaciones!$E$2:$E$232,"&lt;0"))</f>
        <v>1.4525018129079</v>
      </c>
      <c r="G10" s="4" t="str">
        <f aca="false">IF(B10&lt;4,"muestra mínima",IF(F10="-","-",IF(F10&lt;0.7,"débil",IF(F10&gt;1.5,"fuerte",""))))</f>
        <v/>
      </c>
    </row>
    <row r="11" customFormat="false" ht="15" hidden="false" customHeight="false" outlineLevel="0" collapsed="false">
      <c r="A11" s="4" t="n">
        <v>7</v>
      </c>
      <c r="B11" s="4" t="n">
        <f aca="false">COUNTIF(Operaciones!$F$2:$F$232,A11)</f>
        <v>11</v>
      </c>
      <c r="C11" s="4" t="n">
        <f aca="false">COUNTIFS(Operaciones!$F$2:$F$232,A11,Operaciones!$E$2:$E$232,"&gt;0")</f>
        <v>4</v>
      </c>
      <c r="D11" s="17" t="n">
        <f aca="false">IF(B11=0,"-",C11/B11)</f>
        <v>0.363636363636364</v>
      </c>
      <c r="E11" s="18" t="n">
        <f aca="false">SUMIF(Operaciones!$F$2:$F$232,A11,Operaciones!$E$2:$E$232)</f>
        <v>27.57</v>
      </c>
      <c r="F11" s="19" t="n">
        <f aca="false">IF(SUMIFS(Operaciones!$E$2:$E$232,Operaciones!$F$2:$F$232,A11,Operaciones!$E$2:$E$232,"&lt;0")=0,"-",SUMIFS(Operaciones!$E$2:$E$232,Operaciones!$F$2:$F$232,A11,Operaciones!$E$2:$E$232,"&gt;0")/-SUMIFS(Operaciones!$E$2:$E$232,Operaciones!$F$2:$F$232,A11,Operaciones!$E$2:$E$232,"&lt;0"))</f>
        <v>1.93110435663627</v>
      </c>
      <c r="G11" s="4" t="str">
        <f aca="false">IF(B11&lt;4,"muestra mínima",IF(F11="-","-",IF(F11&lt;0.7,"débil",IF(F11&gt;1.5,"fuerte",""))))</f>
        <v>fuerte</v>
      </c>
    </row>
    <row r="12" customFormat="false" ht="15" hidden="false" customHeight="false" outlineLevel="0" collapsed="false">
      <c r="A12" s="4" t="n">
        <v>8</v>
      </c>
      <c r="B12" s="4" t="n">
        <f aca="false">COUNTIF(Operaciones!$F$2:$F$232,A12)</f>
        <v>14</v>
      </c>
      <c r="C12" s="4" t="n">
        <f aca="false">COUNTIFS(Operaciones!$F$2:$F$232,A12,Operaciones!$E$2:$E$232,"&gt;0")</f>
        <v>2</v>
      </c>
      <c r="D12" s="17" t="n">
        <f aca="false">IF(B12=0,"-",C12/B12)</f>
        <v>0.142857142857143</v>
      </c>
      <c r="E12" s="18" t="n">
        <f aca="false">SUMIF(Operaciones!$F$2:$F$232,A12,Operaciones!$E$2:$E$232)</f>
        <v>-21.68</v>
      </c>
      <c r="F12" s="19" t="n">
        <f aca="false">IF(SUMIFS(Operaciones!$E$2:$E$232,Operaciones!$F$2:$F$232,A12,Operaciones!$E$2:$E$232,"&lt;0")=0,"-",SUMIFS(Operaciones!$E$2:$E$232,Operaciones!$F$2:$F$232,A12,Operaciones!$E$2:$E$232,"&gt;0")/-SUMIFS(Operaciones!$E$2:$E$232,Operaciones!$F$2:$F$232,A12,Operaciones!$E$2:$E$232,"&lt;0"))</f>
        <v>0.563079403466344</v>
      </c>
      <c r="G12" s="4" t="str">
        <f aca="false">IF(B12&lt;4,"muestra mínima",IF(F12="-","-",IF(F12&lt;0.7,"débil",IF(F12&gt;1.5,"fuerte",""))))</f>
        <v>débil</v>
      </c>
    </row>
    <row r="13" customFormat="false" ht="15" hidden="false" customHeight="false" outlineLevel="0" collapsed="false">
      <c r="A13" s="4" t="n">
        <v>9</v>
      </c>
      <c r="B13" s="4" t="n">
        <f aca="false">COUNTIF(Operaciones!$F$2:$F$232,A13)</f>
        <v>13</v>
      </c>
      <c r="C13" s="4" t="n">
        <f aca="false">COUNTIFS(Operaciones!$F$2:$F$232,A13,Operaciones!$E$2:$E$232,"&gt;0")</f>
        <v>5</v>
      </c>
      <c r="D13" s="17" t="n">
        <f aca="false">IF(B13=0,"-",C13/B13)</f>
        <v>0.384615384615385</v>
      </c>
      <c r="E13" s="18" t="n">
        <f aca="false">SUMIF(Operaciones!$F$2:$F$232,A13,Operaciones!$E$2:$E$232)</f>
        <v>3.43</v>
      </c>
      <c r="F13" s="19" t="n">
        <f aca="false">IF(SUMIFS(Operaciones!$E$2:$E$232,Operaciones!$F$2:$F$232,A13,Operaciones!$E$2:$E$232,"&lt;0")=0,"-",SUMIFS(Operaciones!$E$2:$E$232,Operaciones!$F$2:$F$232,A13,Operaciones!$E$2:$E$232,"&gt;0")/-SUMIFS(Operaciones!$E$2:$E$232,Operaciones!$F$2:$F$232,A13,Operaciones!$E$2:$E$232,"&lt;0"))</f>
        <v>1.07080924855491</v>
      </c>
      <c r="G13" s="4" t="str">
        <f aca="false">IF(B13&lt;4,"muestra mínima",IF(F13="-","-",IF(F13&lt;0.7,"débil",IF(F13&gt;1.5,"fuerte",""))))</f>
        <v/>
      </c>
    </row>
    <row r="14" customFormat="false" ht="15" hidden="false" customHeight="false" outlineLevel="0" collapsed="false">
      <c r="A14" s="4" t="n">
        <v>10</v>
      </c>
      <c r="B14" s="4" t="n">
        <f aca="false">COUNTIF(Operaciones!$F$2:$F$232,A14)</f>
        <v>8</v>
      </c>
      <c r="C14" s="4" t="n">
        <f aca="false">COUNTIFS(Operaciones!$F$2:$F$232,A14,Operaciones!$E$2:$E$232,"&gt;0")</f>
        <v>3</v>
      </c>
      <c r="D14" s="17" t="n">
        <f aca="false">IF(B14=0,"-",C14/B14)</f>
        <v>0.375</v>
      </c>
      <c r="E14" s="18" t="n">
        <f aca="false">SUMIF(Operaciones!$F$2:$F$232,A14,Operaciones!$E$2:$E$232)</f>
        <v>-9.53</v>
      </c>
      <c r="F14" s="19" t="n">
        <f aca="false">IF(SUMIFS(Operaciones!$E$2:$E$232,Operaciones!$F$2:$F$232,A14,Operaciones!$E$2:$E$232,"&lt;0")=0,"-",SUMIFS(Operaciones!$E$2:$E$232,Operaciones!$F$2:$F$232,A14,Operaciones!$E$2:$E$232,"&gt;0")/-SUMIFS(Operaciones!$E$2:$E$232,Operaciones!$F$2:$F$232,A14,Operaciones!$E$2:$E$232,"&lt;0"))</f>
        <v>0.668982285515804</v>
      </c>
      <c r="G14" s="4" t="str">
        <f aca="false">IF(B14&lt;4,"muestra mínima",IF(F14="-","-",IF(F14&lt;0.7,"débil",IF(F14&gt;1.5,"fuerte",""))))</f>
        <v>débil</v>
      </c>
    </row>
    <row r="15" customFormat="false" ht="15" hidden="false" customHeight="false" outlineLevel="0" collapsed="false">
      <c r="A15" s="4" t="n">
        <v>11</v>
      </c>
      <c r="B15" s="4" t="n">
        <f aca="false">COUNTIF(Operaciones!$F$2:$F$232,A15)</f>
        <v>10</v>
      </c>
      <c r="C15" s="4" t="n">
        <f aca="false">COUNTIFS(Operaciones!$F$2:$F$232,A15,Operaciones!$E$2:$E$232,"&gt;0")</f>
        <v>3</v>
      </c>
      <c r="D15" s="17" t="n">
        <f aca="false">IF(B15=0,"-",C15/B15)</f>
        <v>0.3</v>
      </c>
      <c r="E15" s="18" t="n">
        <f aca="false">SUMIF(Operaciones!$F$2:$F$232,A15,Operaciones!$E$2:$E$232)</f>
        <v>5.23</v>
      </c>
      <c r="F15" s="19" t="n">
        <f aca="false">IF(SUMIFS(Operaciones!$E$2:$E$232,Operaciones!$F$2:$F$232,A15,Operaciones!$E$2:$E$232,"&lt;0")=0,"-",SUMIFS(Operaciones!$E$2:$E$232,Operaciones!$F$2:$F$232,A15,Operaciones!$E$2:$E$232,"&gt;0")/-SUMIFS(Operaciones!$E$2:$E$232,Operaciones!$F$2:$F$232,A15,Operaciones!$E$2:$E$232,"&lt;0"))</f>
        <v>1.13437821171634</v>
      </c>
      <c r="G15" s="4" t="str">
        <f aca="false">IF(B15&lt;4,"muestra mínima",IF(F15="-","-",IF(F15&lt;0.7,"débil",IF(F15&gt;1.5,"fuerte",""))))</f>
        <v/>
      </c>
    </row>
    <row r="16" customFormat="false" ht="15" hidden="false" customHeight="false" outlineLevel="0" collapsed="false">
      <c r="A16" s="4" t="n">
        <v>12</v>
      </c>
      <c r="B16" s="4" t="n">
        <f aca="false">COUNTIF(Operaciones!$F$2:$F$232,A16)</f>
        <v>11</v>
      </c>
      <c r="C16" s="4" t="n">
        <f aca="false">COUNTIFS(Operaciones!$F$2:$F$232,A16,Operaciones!$E$2:$E$232,"&gt;0")</f>
        <v>5</v>
      </c>
      <c r="D16" s="17" t="n">
        <f aca="false">IF(B16=0,"-",C16/B16)</f>
        <v>0.454545454545455</v>
      </c>
      <c r="E16" s="18" t="n">
        <f aca="false">SUMIF(Operaciones!$F$2:$F$232,A16,Operaciones!$E$2:$E$232)</f>
        <v>31.96</v>
      </c>
      <c r="F16" s="19" t="n">
        <f aca="false">IF(SUMIFS(Operaciones!$E$2:$E$232,Operaciones!$F$2:$F$232,A16,Operaciones!$E$2:$E$232,"&lt;0")=0,"-",SUMIFS(Operaciones!$E$2:$E$232,Operaciones!$F$2:$F$232,A16,Operaciones!$E$2:$E$232,"&gt;0")/-SUMIFS(Operaciones!$E$2:$E$232,Operaciones!$F$2:$F$232,A16,Operaciones!$E$2:$E$232,"&lt;0"))</f>
        <v>1.74032893212879</v>
      </c>
      <c r="G16" s="4" t="str">
        <f aca="false">IF(B16&lt;4,"muestra mínima",IF(F16="-","-",IF(F16&lt;0.7,"débil",IF(F16&gt;1.5,"fuerte",""))))</f>
        <v>fuerte</v>
      </c>
    </row>
    <row r="17" customFormat="false" ht="15" hidden="false" customHeight="false" outlineLevel="0" collapsed="false">
      <c r="A17" s="4" t="n">
        <v>13</v>
      </c>
      <c r="B17" s="4" t="n">
        <f aca="false">COUNTIF(Operaciones!$F$2:$F$232,A17)</f>
        <v>10</v>
      </c>
      <c r="C17" s="4" t="n">
        <f aca="false">COUNTIFS(Operaciones!$F$2:$F$232,A17,Operaciones!$E$2:$E$232,"&gt;0")</f>
        <v>2</v>
      </c>
      <c r="D17" s="17" t="n">
        <f aca="false">IF(B17=0,"-",C17/B17)</f>
        <v>0.2</v>
      </c>
      <c r="E17" s="18" t="n">
        <f aca="false">SUMIF(Operaciones!$F$2:$F$232,A17,Operaciones!$E$2:$E$232)</f>
        <v>-24.75</v>
      </c>
      <c r="F17" s="19" t="n">
        <f aca="false">IF(SUMIFS(Operaciones!$E$2:$E$232,Operaciones!$F$2:$F$232,A17,Operaciones!$E$2:$E$232,"&lt;0")=0,"-",SUMIFS(Operaciones!$E$2:$E$232,Operaciones!$F$2:$F$232,A17,Operaciones!$E$2:$E$232,"&gt;0")/-SUMIFS(Operaciones!$E$2:$E$232,Operaciones!$F$2:$F$232,A17,Operaciones!$E$2:$E$232,"&lt;0"))</f>
        <v>0.413923750887994</v>
      </c>
      <c r="G17" s="4" t="str">
        <f aca="false">IF(B17&lt;4,"muestra mínima",IF(F17="-","-",IF(F17&lt;0.7,"débil",IF(F17&gt;1.5,"fuerte",""))))</f>
        <v>débil</v>
      </c>
    </row>
    <row r="18" customFormat="false" ht="15" hidden="false" customHeight="false" outlineLevel="0" collapsed="false">
      <c r="A18" s="4" t="n">
        <v>14</v>
      </c>
      <c r="B18" s="4" t="n">
        <f aca="false">COUNTIF(Operaciones!$F$2:$F$232,A18)</f>
        <v>6</v>
      </c>
      <c r="C18" s="4" t="n">
        <f aca="false">COUNTIFS(Operaciones!$F$2:$F$232,A18,Operaciones!$E$2:$E$232,"&gt;0")</f>
        <v>3</v>
      </c>
      <c r="D18" s="17" t="n">
        <f aca="false">IF(B18=0,"-",C18/B18)</f>
        <v>0.5</v>
      </c>
      <c r="E18" s="18" t="n">
        <f aca="false">SUMIF(Operaciones!$F$2:$F$232,A18,Operaciones!$E$2:$E$232)</f>
        <v>20.06</v>
      </c>
      <c r="F18" s="19" t="n">
        <f aca="false">IF(SUMIFS(Operaciones!$E$2:$E$232,Operaciones!$F$2:$F$232,A18,Operaciones!$E$2:$E$232,"&lt;0")=0,"-",SUMIFS(Operaciones!$E$2:$E$232,Operaciones!$F$2:$F$232,A18,Operaciones!$E$2:$E$232,"&gt;0")/-SUMIFS(Operaciones!$E$2:$E$232,Operaciones!$F$2:$F$232,A18,Operaciones!$E$2:$E$232,"&lt;0"))</f>
        <v>2.162224797219</v>
      </c>
      <c r="G18" s="4" t="str">
        <f aca="false">IF(B18&lt;4,"muestra mínima",IF(F18="-","-",IF(F18&lt;0.7,"débil",IF(F18&gt;1.5,"fuerte",""))))</f>
        <v>fuerte</v>
      </c>
    </row>
    <row r="19" customFormat="false" ht="15" hidden="false" customHeight="false" outlineLevel="0" collapsed="false">
      <c r="A19" s="4" t="n">
        <v>15</v>
      </c>
      <c r="B19" s="4" t="n">
        <f aca="false">COUNTIF(Operaciones!$F$2:$F$232,A19)</f>
        <v>11</v>
      </c>
      <c r="C19" s="4" t="n">
        <f aca="false">COUNTIFS(Operaciones!$F$2:$F$232,A19,Operaciones!$E$2:$E$232,"&gt;0")</f>
        <v>5</v>
      </c>
      <c r="D19" s="17" t="n">
        <f aca="false">IF(B19=0,"-",C19/B19)</f>
        <v>0.454545454545455</v>
      </c>
      <c r="E19" s="18" t="n">
        <f aca="false">SUMIF(Operaciones!$F$2:$F$232,A19,Operaciones!$E$2:$E$232)</f>
        <v>13.29</v>
      </c>
      <c r="F19" s="19" t="n">
        <f aca="false">IF(SUMIFS(Operaciones!$E$2:$E$232,Operaciones!$F$2:$F$232,A19,Operaciones!$E$2:$E$232,"&lt;0")=0,"-",SUMIFS(Operaciones!$E$2:$E$232,Operaciones!$F$2:$F$232,A19,Operaciones!$E$2:$E$232,"&gt;0")/-SUMIFS(Operaciones!$E$2:$E$232,Operaciones!$F$2:$F$232,A19,Operaciones!$E$2:$E$232,"&lt;0"))</f>
        <v>1.59463087248322</v>
      </c>
      <c r="G19" s="4" t="str">
        <f aca="false">IF(B19&lt;4,"muestra mínima",IF(F19="-","-",IF(F19&lt;0.7,"débil",IF(F19&gt;1.5,"fuerte",""))))</f>
        <v>fuerte</v>
      </c>
    </row>
    <row r="20" customFormat="false" ht="15" hidden="false" customHeight="false" outlineLevel="0" collapsed="false">
      <c r="A20" s="4" t="n">
        <v>16</v>
      </c>
      <c r="B20" s="4" t="n">
        <f aca="false">COUNTIF(Operaciones!$F$2:$F$232,A20)</f>
        <v>12</v>
      </c>
      <c r="C20" s="4" t="n">
        <f aca="false">COUNTIFS(Operaciones!$F$2:$F$232,A20,Operaciones!$E$2:$E$232,"&gt;0")</f>
        <v>5</v>
      </c>
      <c r="D20" s="17" t="n">
        <f aca="false">IF(B20=0,"-",C20/B20)</f>
        <v>0.416666666666667</v>
      </c>
      <c r="E20" s="18" t="n">
        <f aca="false">SUMIF(Operaciones!$F$2:$F$232,A20,Operaciones!$E$2:$E$232)</f>
        <v>-13.72</v>
      </c>
      <c r="F20" s="19" t="n">
        <f aca="false">IF(SUMIFS(Operaciones!$E$2:$E$232,Operaciones!$F$2:$F$232,A20,Operaciones!$E$2:$E$232,"&lt;0")=0,"-",SUMIFS(Operaciones!$E$2:$E$232,Operaciones!$F$2:$F$232,A20,Operaciones!$E$2:$E$232,"&gt;0")/-SUMIFS(Operaciones!$E$2:$E$232,Operaciones!$F$2:$F$232,A20,Operaciones!$E$2:$E$232,"&lt;0"))</f>
        <v>0.611771363893605</v>
      </c>
      <c r="G20" s="4" t="str">
        <f aca="false">IF(B20&lt;4,"muestra mínima",IF(F20="-","-",IF(F20&lt;0.7,"débil",IF(F20&gt;1.5,"fuerte",""))))</f>
        <v>débil</v>
      </c>
    </row>
    <row r="21" customFormat="false" ht="15" hidden="false" customHeight="false" outlineLevel="0" collapsed="false">
      <c r="A21" s="4" t="n">
        <v>17</v>
      </c>
      <c r="B21" s="4" t="n">
        <f aca="false">COUNTIF(Operaciones!$F$2:$F$232,A21)</f>
        <v>0</v>
      </c>
      <c r="C21" s="4" t="n">
        <f aca="false">COUNTIFS(Operaciones!$F$2:$F$232,A21,Operaciones!$E$2:$E$232,"&gt;0")</f>
        <v>0</v>
      </c>
      <c r="D21" s="17" t="str">
        <f aca="false">IF(B21=0,"-",C21/B21)</f>
        <v>-</v>
      </c>
      <c r="E21" s="18" t="n">
        <f aca="false">SUMIF(Operaciones!$F$2:$F$232,A21,Operaciones!$E$2:$E$232)</f>
        <v>0</v>
      </c>
      <c r="F21" s="19" t="str">
        <f aca="false">IF(SUMIFS(Operaciones!$E$2:$E$232,Operaciones!$F$2:$F$232,A21,Operaciones!$E$2:$E$232,"&lt;0")=0,"-",SUMIFS(Operaciones!$E$2:$E$232,Operaciones!$F$2:$F$232,A21,Operaciones!$E$2:$E$232,"&gt;0")/-SUMIFS(Operaciones!$E$2:$E$232,Operaciones!$F$2:$F$232,A21,Operaciones!$E$2:$E$232,"&lt;0"))</f>
        <v>-</v>
      </c>
      <c r="G21" s="4" t="str">
        <f aca="false">IF(B21&lt;4,"muestra mínima",IF(F21="-","-",IF(F21&lt;0.7,"débil",IF(F21&gt;1.5,"fuerte",""))))</f>
        <v>muestra mínima</v>
      </c>
    </row>
    <row r="22" customFormat="false" ht="15" hidden="false" customHeight="false" outlineLevel="0" collapsed="false">
      <c r="A22" s="4" t="n">
        <v>18</v>
      </c>
      <c r="B22" s="4" t="n">
        <f aca="false">COUNTIF(Operaciones!$F$2:$F$232,A22)</f>
        <v>7</v>
      </c>
      <c r="C22" s="4" t="n">
        <f aca="false">COUNTIFS(Operaciones!$F$2:$F$232,A22,Operaciones!$E$2:$E$232,"&gt;0")</f>
        <v>4</v>
      </c>
      <c r="D22" s="17" t="n">
        <f aca="false">IF(B22=0,"-",C22/B22)</f>
        <v>0.571428571428571</v>
      </c>
      <c r="E22" s="18" t="n">
        <f aca="false">SUMIF(Operaciones!$F$2:$F$232,A22,Operaciones!$E$2:$E$232)</f>
        <v>0.81</v>
      </c>
      <c r="F22" s="19" t="n">
        <f aca="false">IF(SUMIFS(Operaciones!$E$2:$E$232,Operaciones!$F$2:$F$232,A22,Operaciones!$E$2:$E$232,"&lt;0")=0,"-",SUMIFS(Operaciones!$E$2:$E$232,Operaciones!$F$2:$F$232,A22,Operaciones!$E$2:$E$232,"&gt;0")/-SUMIFS(Operaciones!$E$2:$E$232,Operaciones!$F$2:$F$232,A22,Operaciones!$E$2:$E$232,"&lt;0"))</f>
        <v>1.08775731310943</v>
      </c>
      <c r="G22" s="4" t="str">
        <f aca="false">IF(B22&lt;4,"muestra mínima",IF(F22="-","-",IF(F22&lt;0.7,"débil",IF(F22&gt;1.5,"fuerte",""))))</f>
        <v/>
      </c>
    </row>
    <row r="23" customFormat="false" ht="15" hidden="false" customHeight="false" outlineLevel="0" collapsed="false">
      <c r="A23" s="4" t="n">
        <v>19</v>
      </c>
      <c r="B23" s="4" t="n">
        <f aca="false">COUNTIF(Operaciones!$F$2:$F$232,A23)</f>
        <v>11</v>
      </c>
      <c r="C23" s="4" t="n">
        <f aca="false">COUNTIFS(Operaciones!$F$2:$F$232,A23,Operaciones!$E$2:$E$232,"&gt;0")</f>
        <v>2</v>
      </c>
      <c r="D23" s="17" t="n">
        <f aca="false">IF(B23=0,"-",C23/B23)</f>
        <v>0.181818181818182</v>
      </c>
      <c r="E23" s="18" t="n">
        <f aca="false">SUMIF(Operaciones!$F$2:$F$232,A23,Operaciones!$E$2:$E$232)</f>
        <v>-4.29</v>
      </c>
      <c r="F23" s="19" t="n">
        <f aca="false">IF(SUMIFS(Operaciones!$E$2:$E$232,Operaciones!$F$2:$F$232,A23,Operaciones!$E$2:$E$232,"&lt;0")=0,"-",SUMIFS(Operaciones!$E$2:$E$232,Operaciones!$F$2:$F$232,A23,Operaciones!$E$2:$E$232,"&gt;0")/-SUMIFS(Operaciones!$E$2:$E$232,Operaciones!$F$2:$F$232,A23,Operaciones!$E$2:$E$232,"&lt;0"))</f>
        <v>0.761931187569367</v>
      </c>
      <c r="G23" s="4" t="str">
        <f aca="false">IF(B23&lt;4,"muestra mínima",IF(F23="-","-",IF(F23&lt;0.7,"débil",IF(F23&gt;1.5,"fuerte",""))))</f>
        <v/>
      </c>
    </row>
    <row r="24" customFormat="false" ht="15" hidden="false" customHeight="false" outlineLevel="0" collapsed="false">
      <c r="A24" s="4" t="n">
        <v>20</v>
      </c>
      <c r="B24" s="4" t="n">
        <f aca="false">COUNTIF(Operaciones!$F$2:$F$232,A24)</f>
        <v>8</v>
      </c>
      <c r="C24" s="4" t="n">
        <f aca="false">COUNTIFS(Operaciones!$F$2:$F$232,A24,Operaciones!$E$2:$E$232,"&gt;0")</f>
        <v>3</v>
      </c>
      <c r="D24" s="17" t="n">
        <f aca="false">IF(B24=0,"-",C24/B24)</f>
        <v>0.375</v>
      </c>
      <c r="E24" s="18" t="n">
        <f aca="false">SUMIF(Operaciones!$F$2:$F$232,A24,Operaciones!$E$2:$E$232)</f>
        <v>11.04</v>
      </c>
      <c r="F24" s="19" t="n">
        <f aca="false">IF(SUMIFS(Operaciones!$E$2:$E$232,Operaciones!$F$2:$F$232,A24,Operaciones!$E$2:$E$232,"&lt;0")=0,"-",SUMIFS(Operaciones!$E$2:$E$232,Operaciones!$F$2:$F$232,A24,Operaciones!$E$2:$E$232,"&gt;0")/-SUMIFS(Operaciones!$E$2:$E$232,Operaciones!$F$2:$F$232,A24,Operaciones!$E$2:$E$232,"&lt;0"))</f>
        <v>2.22259136212625</v>
      </c>
      <c r="G24" s="4" t="str">
        <f aca="false">IF(B24&lt;4,"muestra mínima",IF(F24="-","-",IF(F24&lt;0.7,"débil",IF(F24&gt;1.5,"fuerte",""))))</f>
        <v>fuerte</v>
      </c>
    </row>
    <row r="25" customFormat="false" ht="15" hidden="false" customHeight="false" outlineLevel="0" collapsed="false">
      <c r="A25" s="4" t="n">
        <v>21</v>
      </c>
      <c r="B25" s="4" t="n">
        <f aca="false">COUNTIF(Operaciones!$F$2:$F$232,A25)</f>
        <v>11</v>
      </c>
      <c r="C25" s="4" t="n">
        <f aca="false">COUNTIFS(Operaciones!$F$2:$F$232,A25,Operaciones!$E$2:$E$232,"&gt;0")</f>
        <v>5</v>
      </c>
      <c r="D25" s="17" t="n">
        <f aca="false">IF(B25=0,"-",C25/B25)</f>
        <v>0.454545454545455</v>
      </c>
      <c r="E25" s="18" t="n">
        <f aca="false">SUMIF(Operaciones!$F$2:$F$232,A25,Operaciones!$E$2:$E$232)</f>
        <v>12.5</v>
      </c>
      <c r="F25" s="19" t="n">
        <f aca="false">IF(SUMIFS(Operaciones!$E$2:$E$232,Operaciones!$F$2:$F$232,A25,Operaciones!$E$2:$E$232,"&lt;0")=0,"-",SUMIFS(Operaciones!$E$2:$E$232,Operaciones!$F$2:$F$232,A25,Operaciones!$E$2:$E$232,"&gt;0")/-SUMIFS(Operaciones!$E$2:$E$232,Operaciones!$F$2:$F$232,A25,Operaciones!$E$2:$E$232,"&lt;0"))</f>
        <v>1.88841506751955</v>
      </c>
      <c r="G25" s="4" t="str">
        <f aca="false">IF(B25&lt;4,"muestra mínima",IF(F25="-","-",IF(F25&lt;0.7,"débil",IF(F25&gt;1.5,"fuerte",""))))</f>
        <v>fuerte</v>
      </c>
    </row>
    <row r="26" customFormat="false" ht="15" hidden="false" customHeight="false" outlineLevel="0" collapsed="false">
      <c r="A26" s="4" t="n">
        <v>22</v>
      </c>
      <c r="B26" s="4" t="n">
        <f aca="false">COUNTIF(Operaciones!$F$2:$F$232,A26)</f>
        <v>13</v>
      </c>
      <c r="C26" s="4" t="n">
        <f aca="false">COUNTIFS(Operaciones!$F$2:$F$232,A26,Operaciones!$E$2:$E$232,"&gt;0")</f>
        <v>2</v>
      </c>
      <c r="D26" s="17" t="n">
        <f aca="false">IF(B26=0,"-",C26/B26)</f>
        <v>0.153846153846154</v>
      </c>
      <c r="E26" s="18" t="n">
        <f aca="false">SUMIF(Operaciones!$F$2:$F$232,A26,Operaciones!$E$2:$E$232)</f>
        <v>-15.16</v>
      </c>
      <c r="F26" s="19" t="n">
        <f aca="false">IF(SUMIFS(Operaciones!$E$2:$E$232,Operaciones!$F$2:$F$232,A26,Operaciones!$E$2:$E$232,"&lt;0")=0,"-",SUMIFS(Operaciones!$E$2:$E$232,Operaciones!$F$2:$F$232,A26,Operaciones!$E$2:$E$232,"&gt;0")/-SUMIFS(Operaciones!$E$2:$E$232,Operaciones!$F$2:$F$232,A26,Operaciones!$E$2:$E$232,"&lt;0"))</f>
        <v>0.368596418159101</v>
      </c>
      <c r="G26" s="4" t="str">
        <f aca="false">IF(B26&lt;4,"muestra mínima",IF(F26="-","-",IF(F26&lt;0.7,"débil",IF(F26&gt;1.5,"fuerte",""))))</f>
        <v>débil</v>
      </c>
    </row>
    <row r="27" customFormat="false" ht="15" hidden="false" customHeight="false" outlineLevel="0" collapsed="false">
      <c r="A27" s="4" t="n">
        <v>23</v>
      </c>
      <c r="B27" s="4" t="n">
        <f aca="false">COUNTIF(Operaciones!$F$2:$F$232,A27)</f>
        <v>10</v>
      </c>
      <c r="C27" s="4" t="n">
        <f aca="false">COUNTIFS(Operaciones!$F$2:$F$232,A27,Operaciones!$E$2:$E$232,"&gt;0")</f>
        <v>6</v>
      </c>
      <c r="D27" s="17" t="n">
        <f aca="false">IF(B27=0,"-",C27/B27)</f>
        <v>0.6</v>
      </c>
      <c r="E27" s="18" t="n">
        <f aca="false">SUMIF(Operaciones!$F$2:$F$232,A27,Operaciones!$E$2:$E$232)</f>
        <v>18.45</v>
      </c>
      <c r="F27" s="19" t="n">
        <f aca="false">IF(SUMIFS(Operaciones!$E$2:$E$232,Operaciones!$F$2:$F$232,A27,Operaciones!$E$2:$E$232,"&lt;0")=0,"-",SUMIFS(Operaciones!$E$2:$E$232,Operaciones!$F$2:$F$232,A27,Operaciones!$E$2:$E$232,"&gt;0")/-SUMIFS(Operaciones!$E$2:$E$232,Operaciones!$F$2:$F$232,A27,Operaciones!$E$2:$E$232,"&lt;0"))</f>
        <v>7.06907894736842</v>
      </c>
      <c r="G27" s="4" t="str">
        <f aca="false">IF(B27&lt;4,"muestra mínima",IF(F27="-","-",IF(F27&lt;0.7,"débil",IF(F27&gt;1.5,"fuerte",""))))</f>
        <v>fuerte</v>
      </c>
    </row>
    <row r="28" customFormat="false" ht="15" hidden="false" customHeight="false" outlineLevel="0" collapsed="false">
      <c r="A28" s="20" t="s">
        <v>51</v>
      </c>
      <c r="B28" s="20" t="n">
        <f aca="false">SUM(B4:B27)</f>
        <v>231</v>
      </c>
      <c r="C28" s="20" t="n">
        <f aca="false">SUM(C4:C27)</f>
        <v>80</v>
      </c>
      <c r="E28" s="10" t="n">
        <f aca="false">SUM(E4:E27)</f>
        <v>105.58</v>
      </c>
    </row>
    <row r="30" customFormat="false" ht="15" hidden="false" customHeight="false" outlineLevel="0" collapsed="false">
      <c r="A30" s="11" t="s">
        <v>52</v>
      </c>
    </row>
    <row r="31" customFormat="false" ht="26.85" hidden="false" customHeight="false" outlineLevel="0" collapsed="false">
      <c r="A31" s="3" t="s">
        <v>53</v>
      </c>
      <c r="B31" s="3" t="s">
        <v>54</v>
      </c>
      <c r="C31" s="3" t="s">
        <v>46</v>
      </c>
      <c r="D31" s="3" t="s">
        <v>48</v>
      </c>
      <c r="E31" s="3" t="s">
        <v>36</v>
      </c>
      <c r="F31" s="3" t="s">
        <v>49</v>
      </c>
    </row>
    <row r="32" customFormat="false" ht="15" hidden="false" customHeight="false" outlineLevel="0" collapsed="false">
      <c r="A32" s="4" t="n">
        <v>0</v>
      </c>
      <c r="B32" s="4" t="n">
        <v>3</v>
      </c>
      <c r="C32" s="4" t="n">
        <f aca="false">COUNTIFS(Operaciones!$F$2:$F$232,"&gt;="&amp;A32,Operaciones!$F$2:$F$232,"&lt;"&amp;B32)</f>
        <v>26</v>
      </c>
      <c r="D32" s="17" t="n">
        <f aca="false">COUNTIFS(Operaciones!$F$2:$F$232,"&gt;="&amp;A32,Operaciones!$F$2:$F$232,"&lt;"&amp;B32,Operaciones!$E$2:$E$232,"&gt;0")/C32</f>
        <v>0.269230769230769</v>
      </c>
      <c r="E32" s="18" t="n">
        <f aca="false">SUMIFS(Operaciones!$E$2:$E$232,Operaciones!$F$2:$F$232,"&gt;="&amp;A32,Operaciones!$F$2:$F$232,"&lt;"&amp;B32)</f>
        <v>-2.31</v>
      </c>
      <c r="F32" s="19" t="n">
        <f aca="false">SUMIFS(Operaciones!$E$2:$E$232,Operaciones!$F$2:$F$232,"&gt;="&amp;A32,Operaciones!$F$2:$F$232,"&lt;"&amp;B32,Operaciones!$E$2:$E$232,"&gt;0")/-SUMIFS(Operaciones!$E$2:$E$232,Operaciones!$F$2:$F$232,"&gt;="&amp;A32,Operaciones!$F$2:$F$232,"&lt;"&amp;B32,Operaciones!$E$2:$E$232,"&lt;0")</f>
        <v>0.944947569113441</v>
      </c>
    </row>
    <row r="33" customFormat="false" ht="15" hidden="false" customHeight="false" outlineLevel="0" collapsed="false">
      <c r="A33" s="4" t="n">
        <v>3</v>
      </c>
      <c r="B33" s="4" t="n">
        <v>6</v>
      </c>
      <c r="C33" s="4" t="n">
        <f aca="false">COUNTIFS(Operaciones!$F$2:$F$232,"&gt;="&amp;A33,Operaciones!$F$2:$F$232,"&lt;"&amp;B33)</f>
        <v>32</v>
      </c>
      <c r="D33" s="17" t="n">
        <f aca="false">COUNTIFS(Operaciones!$F$2:$F$232,"&gt;="&amp;A33,Operaciones!$F$2:$F$232,"&lt;"&amp;B33,Operaciones!$E$2:$E$232,"&gt;0")/C33</f>
        <v>0.34375</v>
      </c>
      <c r="E33" s="18" t="n">
        <f aca="false">SUMIFS(Operaciones!$E$2:$E$232,Operaciones!$F$2:$F$232,"&gt;="&amp;A33,Operaciones!$F$2:$F$232,"&lt;"&amp;B33)</f>
        <v>46.44</v>
      </c>
      <c r="F33" s="19" t="n">
        <f aca="false">SUMIFS(Operaciones!$E$2:$E$232,Operaciones!$F$2:$F$232,"&gt;="&amp;A33,Operaciones!$F$2:$F$232,"&lt;"&amp;B33,Operaciones!$E$2:$E$232,"&gt;0")/-SUMIFS(Operaciones!$E$2:$E$232,Operaciones!$F$2:$F$232,"&gt;="&amp;A33,Operaciones!$F$2:$F$232,"&lt;"&amp;B33,Operaciones!$E$2:$E$232,"&lt;0")</f>
        <v>1.65928449744463</v>
      </c>
    </row>
    <row r="34" customFormat="false" ht="15" hidden="false" customHeight="false" outlineLevel="0" collapsed="false">
      <c r="A34" s="4" t="n">
        <v>6</v>
      </c>
      <c r="B34" s="4" t="n">
        <v>9</v>
      </c>
      <c r="C34" s="4" t="n">
        <f aca="false">COUNTIFS(Operaciones!$F$2:$F$232,"&gt;="&amp;A34,Operaciones!$F$2:$F$232,"&lt;"&amp;B34)</f>
        <v>32</v>
      </c>
      <c r="D34" s="17" t="n">
        <f aca="false">COUNTIFS(Operaciones!$F$2:$F$232,"&gt;="&amp;A34,Operaciones!$F$2:$F$232,"&lt;"&amp;B34,Operaciones!$E$2:$E$232,"&gt;0")/C34</f>
        <v>0.28125</v>
      </c>
      <c r="E34" s="18" t="n">
        <f aca="false">SUMIFS(Operaciones!$E$2:$E$232,Operaciones!$F$2:$F$232,"&gt;="&amp;A34,Operaciones!$F$2:$F$232,"&lt;"&amp;B34)</f>
        <v>12.13</v>
      </c>
      <c r="F34" s="19" t="n">
        <f aca="false">SUMIFS(Operaciones!$E$2:$E$232,Operaciones!$F$2:$F$232,"&gt;="&amp;A34,Operaciones!$F$2:$F$232,"&lt;"&amp;B34,Operaciones!$E$2:$E$232,"&gt;0")/-SUMIFS(Operaciones!$E$2:$E$232,Operaciones!$F$2:$F$232,"&gt;="&amp;A34,Operaciones!$F$2:$F$232,"&lt;"&amp;B34,Operaciones!$E$2:$E$232,"&lt;0")</f>
        <v>1.13040206407224</v>
      </c>
    </row>
    <row r="35" customFormat="false" ht="15" hidden="false" customHeight="false" outlineLevel="0" collapsed="false">
      <c r="A35" s="4" t="n">
        <v>9</v>
      </c>
      <c r="B35" s="4" t="n">
        <v>12</v>
      </c>
      <c r="C35" s="4" t="n">
        <f aca="false">COUNTIFS(Operaciones!$F$2:$F$232,"&gt;="&amp;A35,Operaciones!$F$2:$F$232,"&lt;"&amp;B35)</f>
        <v>31</v>
      </c>
      <c r="D35" s="17" t="n">
        <f aca="false">COUNTIFS(Operaciones!$F$2:$F$232,"&gt;="&amp;A35,Operaciones!$F$2:$F$232,"&lt;"&amp;B35,Operaciones!$E$2:$E$232,"&gt;0")/C35</f>
        <v>0.354838709677419</v>
      </c>
      <c r="E35" s="18" t="n">
        <f aca="false">SUMIFS(Operaciones!$E$2:$E$232,Operaciones!$F$2:$F$232,"&gt;="&amp;A35,Operaciones!$F$2:$F$232,"&lt;"&amp;B35)</f>
        <v>-0.869999999999994</v>
      </c>
      <c r="F35" s="19" t="n">
        <f aca="false">SUMIFS(Operaciones!$E$2:$E$232,Operaciones!$F$2:$F$232,"&gt;="&amp;A35,Operaciones!$F$2:$F$232,"&lt;"&amp;B35,Operaciones!$E$2:$E$232,"&gt;0")/-SUMIFS(Operaciones!$E$2:$E$232,Operaciones!$F$2:$F$232,"&gt;="&amp;A35,Operaciones!$F$2:$F$232,"&lt;"&amp;B35,Operaciones!$E$2:$E$232,"&lt;0")</f>
        <v>0.992509685751184</v>
      </c>
    </row>
    <row r="36" customFormat="false" ht="15" hidden="false" customHeight="false" outlineLevel="0" collapsed="false">
      <c r="A36" s="4" t="n">
        <v>12</v>
      </c>
      <c r="B36" s="4" t="n">
        <v>15</v>
      </c>
      <c r="C36" s="4" t="n">
        <f aca="false">COUNTIFS(Operaciones!$F$2:$F$232,"&gt;="&amp;A36,Operaciones!$F$2:$F$232,"&lt;"&amp;B36)</f>
        <v>27</v>
      </c>
      <c r="D36" s="17" t="n">
        <f aca="false">COUNTIFS(Operaciones!$F$2:$F$232,"&gt;="&amp;A36,Operaciones!$F$2:$F$232,"&lt;"&amp;B36,Operaciones!$E$2:$E$232,"&gt;0")/C36</f>
        <v>0.37037037037037</v>
      </c>
      <c r="E36" s="18" t="n">
        <f aca="false">SUMIFS(Operaciones!$E$2:$E$232,Operaciones!$F$2:$F$232,"&gt;="&amp;A36,Operaciones!$F$2:$F$232,"&lt;"&amp;B36)</f>
        <v>27.27</v>
      </c>
      <c r="F36" s="19" t="n">
        <f aca="false">SUMIFS(Operaciones!$E$2:$E$232,Operaciones!$F$2:$F$232,"&gt;="&amp;A36,Operaciones!$F$2:$F$232,"&lt;"&amp;B36,Operaciones!$E$2:$E$232,"&gt;0")/-SUMIFS(Operaciones!$E$2:$E$232,Operaciones!$F$2:$F$232,"&gt;="&amp;A36,Operaciones!$F$2:$F$232,"&lt;"&amp;B36,Operaciones!$E$2:$E$232,"&lt;0")</f>
        <v>1.2656341320865</v>
      </c>
    </row>
    <row r="37" customFormat="false" ht="15" hidden="false" customHeight="false" outlineLevel="0" collapsed="false">
      <c r="A37" s="4" t="n">
        <v>15</v>
      </c>
      <c r="B37" s="4" t="n">
        <v>18</v>
      </c>
      <c r="C37" s="4" t="n">
        <f aca="false">COUNTIFS(Operaciones!$F$2:$F$232,"&gt;="&amp;A37,Operaciones!$F$2:$F$232,"&lt;"&amp;B37)</f>
        <v>23</v>
      </c>
      <c r="D37" s="17" t="n">
        <f aca="false">COUNTIFS(Operaciones!$F$2:$F$232,"&gt;="&amp;A37,Operaciones!$F$2:$F$232,"&lt;"&amp;B37,Operaciones!$E$2:$E$232,"&gt;0")/C37</f>
        <v>0.434782608695652</v>
      </c>
      <c r="E37" s="18" t="n">
        <f aca="false">SUMIFS(Operaciones!$E$2:$E$232,Operaciones!$F$2:$F$232,"&gt;="&amp;A37,Operaciones!$F$2:$F$232,"&lt;"&amp;B37)</f>
        <v>-0.430000000000002</v>
      </c>
      <c r="F37" s="19" t="n">
        <f aca="false">SUMIFS(Operaciones!$E$2:$E$232,Operaciones!$F$2:$F$232,"&gt;="&amp;A37,Operaciones!$F$2:$F$232,"&lt;"&amp;B37,Operaciones!$E$2:$E$232,"&gt;0")/-SUMIFS(Operaciones!$E$2:$E$232,Operaciones!$F$2:$F$232,"&gt;="&amp;A37,Operaciones!$F$2:$F$232,"&lt;"&amp;B37,Operaciones!$E$2:$E$232,"&lt;0")</f>
        <v>0.992546368521407</v>
      </c>
    </row>
    <row r="38" customFormat="false" ht="15" hidden="false" customHeight="false" outlineLevel="0" collapsed="false">
      <c r="A38" s="4" t="n">
        <v>18</v>
      </c>
      <c r="B38" s="4" t="n">
        <v>21</v>
      </c>
      <c r="C38" s="4" t="n">
        <f aca="false">COUNTIFS(Operaciones!$F$2:$F$232,"&gt;="&amp;A38,Operaciones!$F$2:$F$232,"&lt;"&amp;B38)</f>
        <v>26</v>
      </c>
      <c r="D38" s="17" t="n">
        <f aca="false">COUNTIFS(Operaciones!$F$2:$F$232,"&gt;="&amp;A38,Operaciones!$F$2:$F$232,"&lt;"&amp;B38,Operaciones!$E$2:$E$232,"&gt;0")/C38</f>
        <v>0.346153846153846</v>
      </c>
      <c r="E38" s="18" t="n">
        <f aca="false">SUMIFS(Operaciones!$E$2:$E$232,Operaciones!$F$2:$F$232,"&gt;="&amp;A38,Operaciones!$F$2:$F$232,"&lt;"&amp;B38)</f>
        <v>7.56</v>
      </c>
      <c r="F38" s="19" t="n">
        <f aca="false">SUMIFS(Operaciones!$E$2:$E$232,Operaciones!$F$2:$F$232,"&gt;="&amp;A38,Operaciones!$F$2:$F$232,"&lt;"&amp;B38,Operaciones!$E$2:$E$232,"&gt;0")/-SUMIFS(Operaciones!$E$2:$E$232,Operaciones!$F$2:$F$232,"&gt;="&amp;A38,Operaciones!$F$2:$F$232,"&lt;"&amp;B38,Operaciones!$E$2:$E$232,"&lt;0")</f>
        <v>1.20837927232635</v>
      </c>
    </row>
    <row r="39" customFormat="false" ht="15" hidden="false" customHeight="false" outlineLevel="0" collapsed="false">
      <c r="A39" s="4" t="n">
        <v>21</v>
      </c>
      <c r="B39" s="4" t="n">
        <v>24</v>
      </c>
      <c r="C39" s="4" t="n">
        <f aca="false">COUNTIFS(Operaciones!$F$2:$F$232,"&gt;="&amp;A39,Operaciones!$F$2:$F$232,"&lt;"&amp;B39)</f>
        <v>34</v>
      </c>
      <c r="D39" s="17" t="n">
        <f aca="false">COUNTIFS(Operaciones!$F$2:$F$232,"&gt;="&amp;A39,Operaciones!$F$2:$F$232,"&lt;"&amp;B39,Operaciones!$E$2:$E$232,"&gt;0")/C39</f>
        <v>0.382352941176471</v>
      </c>
      <c r="E39" s="18" t="n">
        <f aca="false">SUMIFS(Operaciones!$E$2:$E$232,Operaciones!$F$2:$F$232,"&gt;="&amp;A39,Operaciones!$F$2:$F$232,"&lt;"&amp;B39)</f>
        <v>15.79</v>
      </c>
      <c r="F39" s="19" t="n">
        <f aca="false">SUMIFS(Operaciones!$E$2:$E$232,Operaciones!$F$2:$F$232,"&gt;="&amp;A39,Operaciones!$F$2:$F$232,"&lt;"&amp;B39,Operaciones!$E$2:$E$232,"&gt;0")/-SUMIFS(Operaciones!$E$2:$E$232,Operaciones!$F$2:$F$232,"&gt;="&amp;A39,Operaciones!$F$2:$F$232,"&lt;"&amp;B39,Operaciones!$E$2:$E$232,"&lt;0")</f>
        <v>1.38399805447471</v>
      </c>
    </row>
    <row r="41" customFormat="false" ht="15" hidden="false" customHeight="false" outlineLevel="0" collapsed="false">
      <c r="A41" s="2" t="s">
        <v>55</v>
      </c>
    </row>
  </sheetData>
  <conditionalFormatting sqref="E4:E27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7"/>
  </cols>
  <sheetData>
    <row r="1" customFormat="false" ht="16.15" hidden="false" customHeight="false" outlineLevel="0" collapsed="false">
      <c r="A1" s="16" t="s">
        <v>56</v>
      </c>
    </row>
    <row r="3" customFormat="false" ht="26.85" hidden="false" customHeight="false" outlineLevel="0" collapsed="false">
      <c r="A3" s="3" t="s">
        <v>57</v>
      </c>
      <c r="B3" s="3" t="s">
        <v>58</v>
      </c>
      <c r="C3" s="3" t="s">
        <v>46</v>
      </c>
      <c r="D3" s="3" t="s">
        <v>48</v>
      </c>
      <c r="E3" s="3" t="s">
        <v>36</v>
      </c>
      <c r="F3" s="3" t="s">
        <v>49</v>
      </c>
    </row>
    <row r="4" customFormat="false" ht="15" hidden="false" customHeight="false" outlineLevel="0" collapsed="false">
      <c r="A4" s="4" t="s">
        <v>59</v>
      </c>
      <c r="B4" s="4" t="n">
        <v>1</v>
      </c>
      <c r="C4" s="4" t="n">
        <f aca="false">COUNTIF(Operaciones!$G$2:$G$232,B4)</f>
        <v>51</v>
      </c>
      <c r="D4" s="17" t="n">
        <f aca="false">IF(C4=0,"-",COUNTIFS(Operaciones!$G$2:$G$232,B4,Operaciones!$E$2:$E$232,"&gt;0")/C4)</f>
        <v>0.235294117647059</v>
      </c>
      <c r="E4" s="18" t="n">
        <f aca="false">SUMIF(Operaciones!$G$2:$G$232,B4,Operaciones!$E$2:$E$232)</f>
        <v>-64.37</v>
      </c>
      <c r="F4" s="19" t="n">
        <f aca="false">IF(C4=0,"-",SUMIFS(Operaciones!$E$2:$E$232,Operaciones!$G$2:$G$232,B4,Operaciones!$E$2:$E$232,"&gt;0")/-SUMIFS(Operaciones!$E$2:$E$232,Operaciones!$G$2:$G$232,B4,Operaciones!$E$2:$E$232,"&lt;0"))</f>
        <v>0.508325695080966</v>
      </c>
    </row>
    <row r="5" customFormat="false" ht="15" hidden="false" customHeight="false" outlineLevel="0" collapsed="false">
      <c r="A5" s="4" t="s">
        <v>60</v>
      </c>
      <c r="B5" s="4" t="n">
        <v>2</v>
      </c>
      <c r="C5" s="4" t="n">
        <f aca="false">COUNTIF(Operaciones!$G$2:$G$232,B5)</f>
        <v>49</v>
      </c>
      <c r="D5" s="17" t="n">
        <f aca="false">IF(C5=0,"-",COUNTIFS(Operaciones!$G$2:$G$232,B5,Operaciones!$E$2:$E$232,"&gt;0")/C5)</f>
        <v>0.387755102040816</v>
      </c>
      <c r="E5" s="18" t="n">
        <f aca="false">SUMIF(Operaciones!$G$2:$G$232,B5,Operaciones!$E$2:$E$232)</f>
        <v>84.24</v>
      </c>
      <c r="F5" s="19" t="n">
        <f aca="false">IF(C5=0,"-",SUMIFS(Operaciones!$E$2:$E$232,Operaciones!$G$2:$G$232,B5,Operaciones!$E$2:$E$232,"&gt;0")/-SUMIFS(Operaciones!$E$2:$E$232,Operaciones!$G$2:$G$232,B5,Operaciones!$E$2:$E$232,"&lt;0"))</f>
        <v>1.99621570482498</v>
      </c>
    </row>
    <row r="6" customFormat="false" ht="15" hidden="false" customHeight="false" outlineLevel="0" collapsed="false">
      <c r="A6" s="4" t="s">
        <v>61</v>
      </c>
      <c r="B6" s="4" t="n">
        <v>3</v>
      </c>
      <c r="C6" s="4" t="n">
        <f aca="false">COUNTIF(Operaciones!$G$2:$G$232,B6)</f>
        <v>47</v>
      </c>
      <c r="D6" s="17" t="n">
        <f aca="false">IF(C6=0,"-",COUNTIFS(Operaciones!$G$2:$G$232,B6,Operaciones!$E$2:$E$232,"&gt;0")/C6)</f>
        <v>0.468085106382979</v>
      </c>
      <c r="E6" s="18" t="n">
        <f aca="false">SUMIF(Operaciones!$G$2:$G$232,B6,Operaciones!$E$2:$E$232)</f>
        <v>90.36</v>
      </c>
      <c r="F6" s="19" t="n">
        <f aca="false">IF(C6=0,"-",SUMIFS(Operaciones!$E$2:$E$232,Operaciones!$G$2:$G$232,B6,Operaciones!$E$2:$E$232,"&gt;0")/-SUMIFS(Operaciones!$E$2:$E$232,Operaciones!$G$2:$G$232,B6,Operaciones!$E$2:$E$232,"&lt;0"))</f>
        <v>1.93424317617866</v>
      </c>
    </row>
    <row r="7" customFormat="false" ht="15" hidden="false" customHeight="false" outlineLevel="0" collapsed="false">
      <c r="A7" s="4" t="s">
        <v>62</v>
      </c>
      <c r="B7" s="4" t="n">
        <v>4</v>
      </c>
      <c r="C7" s="4" t="n">
        <f aca="false">COUNTIF(Operaciones!$G$2:$G$232,B7)</f>
        <v>40</v>
      </c>
      <c r="D7" s="17" t="n">
        <f aca="false">IF(C7=0,"-",COUNTIFS(Operaciones!$G$2:$G$232,B7,Operaciones!$E$2:$E$232,"&gt;0")/C7)</f>
        <v>0.35</v>
      </c>
      <c r="E7" s="18" t="n">
        <f aca="false">SUMIF(Operaciones!$G$2:$G$232,B7,Operaciones!$E$2:$E$232)</f>
        <v>13.67</v>
      </c>
      <c r="F7" s="19" t="n">
        <f aca="false">IF(C7=0,"-",SUMIFS(Operaciones!$E$2:$E$232,Operaciones!$G$2:$G$232,B7,Operaciones!$E$2:$E$232,"&gt;0")/-SUMIFS(Operaciones!$E$2:$E$232,Operaciones!$G$2:$G$232,B7,Operaciones!$E$2:$E$232,"&lt;0"))</f>
        <v>1.10668019353832</v>
      </c>
    </row>
    <row r="8" customFormat="false" ht="15" hidden="false" customHeight="false" outlineLevel="0" collapsed="false">
      <c r="A8" s="4" t="s">
        <v>63</v>
      </c>
      <c r="B8" s="4" t="n">
        <v>5</v>
      </c>
      <c r="C8" s="4" t="n">
        <f aca="false">COUNTIF(Operaciones!$G$2:$G$232,B8)</f>
        <v>30</v>
      </c>
      <c r="D8" s="17" t="n">
        <f aca="false">IF(C8=0,"-",COUNTIFS(Operaciones!$G$2:$G$232,B8,Operaciones!$E$2:$E$232,"&gt;0")/C8)</f>
        <v>0.3</v>
      </c>
      <c r="E8" s="18" t="n">
        <f aca="false">SUMIF(Operaciones!$G$2:$G$232,B8,Operaciones!$E$2:$E$232)</f>
        <v>-10.05</v>
      </c>
      <c r="F8" s="19" t="n">
        <f aca="false">IF(C8=0,"-",SUMIFS(Operaciones!$E$2:$E$232,Operaciones!$G$2:$G$232,B8,Operaciones!$E$2:$E$232,"&gt;0")/-SUMIFS(Operaciones!$E$2:$E$232,Operaciones!$G$2:$G$232,B8,Operaciones!$E$2:$E$232,"&lt;0"))</f>
        <v>0.894087891242491</v>
      </c>
    </row>
    <row r="9" customFormat="false" ht="15" hidden="false" customHeight="false" outlineLevel="0" collapsed="false">
      <c r="A9" s="4" t="s">
        <v>64</v>
      </c>
      <c r="B9" s="4" t="n">
        <v>6</v>
      </c>
      <c r="C9" s="4" t="n">
        <f aca="false">COUNTIF(Operaciones!$G$2:$G$232,B9)</f>
        <v>0</v>
      </c>
      <c r="D9" s="17" t="str">
        <f aca="false">IF(C9=0,"-",COUNTIFS(Operaciones!$G$2:$G$232,B9,Operaciones!$E$2:$E$232,"&gt;0")/C9)</f>
        <v>-</v>
      </c>
      <c r="E9" s="18" t="n">
        <f aca="false">SUMIF(Operaciones!$G$2:$G$232,B9,Operaciones!$E$2:$E$232)</f>
        <v>0</v>
      </c>
      <c r="F9" s="19" t="str">
        <f aca="false">IF(C9=0,"-",SUMIFS(Operaciones!$E$2:$E$232,Operaciones!$G$2:$G$232,B9,Operaciones!$E$2:$E$232,"&gt;0")/-SUMIFS(Operaciones!$E$2:$E$232,Operaciones!$G$2:$G$232,B9,Operaciones!$E$2:$E$232,"&lt;0"))</f>
        <v>-</v>
      </c>
    </row>
    <row r="10" customFormat="false" ht="15" hidden="false" customHeight="false" outlineLevel="0" collapsed="false">
      <c r="A10" s="4" t="s">
        <v>65</v>
      </c>
      <c r="B10" s="4" t="n">
        <v>7</v>
      </c>
      <c r="C10" s="4" t="n">
        <f aca="false">COUNTIF(Operaciones!$G$2:$G$232,B10)</f>
        <v>14</v>
      </c>
      <c r="D10" s="17" t="n">
        <f aca="false">IF(C10=0,"-",COUNTIFS(Operaciones!$G$2:$G$232,B10,Operaciones!$E$2:$E$232,"&gt;0")/C10)</f>
        <v>0.285714285714286</v>
      </c>
      <c r="E10" s="18" t="n">
        <f aca="false">SUMIF(Operaciones!$G$2:$G$232,B10,Operaciones!$E$2:$E$232)</f>
        <v>-8.27</v>
      </c>
      <c r="F10" s="19" t="n">
        <f aca="false">IF(C10=0,"-",SUMIFS(Operaciones!$E$2:$E$232,Operaciones!$G$2:$G$232,B10,Operaciones!$E$2:$E$232,"&gt;0")/-SUMIFS(Operaciones!$E$2:$E$232,Operaciones!$G$2:$G$232,B10,Operaciones!$E$2:$E$232,"&lt;0"))</f>
        <v>0.65670402656704</v>
      </c>
    </row>
    <row r="12" customFormat="false" ht="15" hidden="false" customHeight="false" outlineLevel="0" collapsed="false">
      <c r="A12" s="2" t="s">
        <v>66</v>
      </c>
    </row>
  </sheetData>
  <conditionalFormatting sqref="E4:E10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46"/>
    <col collapsed="false" customWidth="true" hidden="false" outlineLevel="0" max="3" min="3" style="0" width="24"/>
    <col collapsed="false" customWidth="true" hidden="false" outlineLevel="0" max="5" min="4" style="0" width="20"/>
    <col collapsed="false" customWidth="true" hidden="false" outlineLevel="0" max="6" min="6" style="0" width="18"/>
  </cols>
  <sheetData>
    <row r="1" customFormat="false" ht="16.15" hidden="false" customHeight="false" outlineLevel="0" collapsed="false">
      <c r="A1" s="16" t="s">
        <v>67</v>
      </c>
    </row>
    <row r="2" customFormat="false" ht="15" hidden="false" customHeight="false" outlineLevel="0" collapsed="false">
      <c r="A2" s="2" t="s">
        <v>68</v>
      </c>
    </row>
    <row r="4" customFormat="false" ht="15" hidden="false" customHeight="false" outlineLevel="0" collapsed="false">
      <c r="A4" s="3" t="s">
        <v>69</v>
      </c>
      <c r="B4" s="3" t="s">
        <v>70</v>
      </c>
      <c r="C4" s="3" t="s">
        <v>46</v>
      </c>
      <c r="D4" s="3" t="s">
        <v>48</v>
      </c>
      <c r="E4" s="3" t="s">
        <v>36</v>
      </c>
      <c r="F4" s="3" t="s">
        <v>49</v>
      </c>
    </row>
    <row r="5" customFormat="false" ht="15" hidden="false" customHeight="false" outlineLevel="0" collapsed="false">
      <c r="A5" s="4" t="s">
        <v>71</v>
      </c>
      <c r="B5" s="4" t="s">
        <v>72</v>
      </c>
      <c r="C5" s="21" t="n">
        <v>80</v>
      </c>
      <c r="D5" s="21" t="n">
        <v>35</v>
      </c>
      <c r="E5" s="22" t="n">
        <v>26.5</v>
      </c>
      <c r="F5" s="23" t="n">
        <v>1.14</v>
      </c>
    </row>
    <row r="6" customFormat="false" ht="15" hidden="false" customHeight="false" outlineLevel="0" collapsed="false">
      <c r="A6" s="4" t="s">
        <v>73</v>
      </c>
      <c r="B6" s="4" t="s">
        <v>72</v>
      </c>
      <c r="C6" s="21" t="n">
        <v>150</v>
      </c>
      <c r="D6" s="21" t="n">
        <v>34</v>
      </c>
      <c r="E6" s="22" t="n">
        <v>78.8</v>
      </c>
      <c r="F6" s="23" t="n">
        <v>1.21</v>
      </c>
    </row>
    <row r="7" customFormat="false" ht="15" hidden="false" customHeight="false" outlineLevel="0" collapsed="false">
      <c r="A7" s="4" t="s">
        <v>74</v>
      </c>
      <c r="B7" s="4" t="s">
        <v>72</v>
      </c>
      <c r="C7" s="21" t="n">
        <v>98</v>
      </c>
      <c r="D7" s="21" t="n">
        <v>37</v>
      </c>
      <c r="E7" s="22" t="n">
        <v>19.6</v>
      </c>
      <c r="F7" s="23" t="n">
        <v>1.08</v>
      </c>
    </row>
    <row r="8" customFormat="false" ht="15" hidden="false" customHeight="false" outlineLevel="0" collapsed="false">
      <c r="A8" s="4" t="s">
        <v>75</v>
      </c>
      <c r="B8" s="4" t="s">
        <v>76</v>
      </c>
      <c r="C8" s="21" t="n">
        <v>194</v>
      </c>
      <c r="D8" s="21" t="n">
        <v>35</v>
      </c>
      <c r="E8" s="22" t="n">
        <v>118.7</v>
      </c>
      <c r="F8" s="23" t="n">
        <v>1.25</v>
      </c>
    </row>
    <row r="9" customFormat="false" ht="15" hidden="false" customHeight="false" outlineLevel="0" collapsed="false">
      <c r="A9" s="4" t="s">
        <v>75</v>
      </c>
      <c r="B9" s="4" t="s">
        <v>77</v>
      </c>
      <c r="C9" s="21" t="n">
        <v>37</v>
      </c>
      <c r="D9" s="21" t="n">
        <v>32</v>
      </c>
      <c r="E9" s="22" t="n">
        <v>-13.2</v>
      </c>
      <c r="F9" s="23" t="n">
        <v>0.84</v>
      </c>
    </row>
    <row r="10" customFormat="false" ht="15" hidden="false" customHeight="false" outlineLevel="0" collapsed="false">
      <c r="A10" s="4" t="s">
        <v>78</v>
      </c>
      <c r="B10" s="4" t="s">
        <v>79</v>
      </c>
      <c r="C10" s="21" t="n">
        <v>140</v>
      </c>
      <c r="D10" s="21" t="n">
        <v>35</v>
      </c>
      <c r="E10" s="22" t="n">
        <v>90.6</v>
      </c>
      <c r="F10" s="23" t="n">
        <v>1.28</v>
      </c>
    </row>
    <row r="11" customFormat="false" ht="15" hidden="false" customHeight="false" outlineLevel="0" collapsed="false">
      <c r="A11" s="4" t="s">
        <v>78</v>
      </c>
      <c r="B11" s="4" t="s">
        <v>80</v>
      </c>
      <c r="C11" s="21" t="n">
        <v>91</v>
      </c>
      <c r="D11" s="21" t="n">
        <v>34</v>
      </c>
      <c r="E11" s="22" t="n">
        <v>15</v>
      </c>
      <c r="F11" s="23" t="n">
        <v>1.06</v>
      </c>
    </row>
    <row r="12" customFormat="false" ht="15" hidden="false" customHeight="false" outlineLevel="0" collapsed="false">
      <c r="A12" s="4" t="s">
        <v>81</v>
      </c>
      <c r="B12" s="4" t="s">
        <v>79</v>
      </c>
      <c r="C12" s="21" t="n">
        <v>172</v>
      </c>
      <c r="D12" s="21" t="n">
        <v>34</v>
      </c>
      <c r="E12" s="22" t="n">
        <v>127.8</v>
      </c>
      <c r="F12" s="23" t="n">
        <v>1.32</v>
      </c>
    </row>
    <row r="13" customFormat="false" ht="15" hidden="false" customHeight="false" outlineLevel="0" collapsed="false">
      <c r="A13" s="4" t="s">
        <v>81</v>
      </c>
      <c r="B13" s="4" t="s">
        <v>80</v>
      </c>
      <c r="C13" s="21" t="n">
        <v>59</v>
      </c>
      <c r="D13" s="21" t="n">
        <v>37</v>
      </c>
      <c r="E13" s="22" t="n">
        <v>-22.3</v>
      </c>
      <c r="F13" s="23" t="n">
        <v>0.86</v>
      </c>
    </row>
    <row r="14" customFormat="false" ht="15" hidden="false" customHeight="false" outlineLevel="0" collapsed="false">
      <c r="A14" s="4" t="s">
        <v>82</v>
      </c>
      <c r="B14" s="4" t="s">
        <v>79</v>
      </c>
      <c r="C14" s="21" t="n">
        <v>192</v>
      </c>
      <c r="D14" s="21" t="n">
        <v>36</v>
      </c>
      <c r="E14" s="22" t="n">
        <v>184.2</v>
      </c>
      <c r="F14" s="23" t="n">
        <v>1.42</v>
      </c>
    </row>
    <row r="15" customFormat="false" ht="15" hidden="false" customHeight="false" outlineLevel="0" collapsed="false">
      <c r="A15" s="4" t="s">
        <v>82</v>
      </c>
      <c r="B15" s="4" t="s">
        <v>80</v>
      </c>
      <c r="C15" s="21" t="n">
        <v>39</v>
      </c>
      <c r="D15" s="21" t="n">
        <v>28</v>
      </c>
      <c r="E15" s="22" t="n">
        <v>-78.6</v>
      </c>
      <c r="F15" s="23" t="n">
        <v>0.36</v>
      </c>
    </row>
    <row r="16" customFormat="false" ht="15" hidden="false" customHeight="false" outlineLevel="0" collapsed="false">
      <c r="A16" s="4" t="s">
        <v>83</v>
      </c>
      <c r="B16" s="4" t="s">
        <v>79</v>
      </c>
      <c r="C16" s="21" t="n">
        <v>207</v>
      </c>
      <c r="D16" s="21" t="n">
        <v>35</v>
      </c>
      <c r="E16" s="22" t="n">
        <v>149.6</v>
      </c>
      <c r="F16" s="23" t="n">
        <v>1.31</v>
      </c>
    </row>
    <row r="17" customFormat="false" ht="15" hidden="false" customHeight="false" outlineLevel="0" collapsed="false">
      <c r="A17" s="4" t="s">
        <v>83</v>
      </c>
      <c r="B17" s="4" t="s">
        <v>80</v>
      </c>
      <c r="C17" s="21" t="n">
        <v>24</v>
      </c>
      <c r="D17" s="21" t="n">
        <v>29</v>
      </c>
      <c r="E17" s="22" t="n">
        <v>-44</v>
      </c>
      <c r="F17" s="23" t="n">
        <v>0.42</v>
      </c>
    </row>
    <row r="18" customFormat="false" ht="15" hidden="false" customHeight="false" outlineLevel="0" collapsed="false">
      <c r="A18" s="4" t="s">
        <v>84</v>
      </c>
      <c r="B18" s="4" t="s">
        <v>79</v>
      </c>
      <c r="C18" s="21" t="n">
        <v>222</v>
      </c>
      <c r="D18" s="21" t="n">
        <v>35</v>
      </c>
      <c r="E18" s="22" t="n">
        <v>107.4</v>
      </c>
      <c r="F18" s="23" t="n">
        <v>1.2</v>
      </c>
    </row>
    <row r="19" customFormat="false" ht="15" hidden="false" customHeight="false" outlineLevel="0" collapsed="false">
      <c r="A19" s="4" t="s">
        <v>84</v>
      </c>
      <c r="B19" s="4" t="s">
        <v>80</v>
      </c>
      <c r="C19" s="21" t="n">
        <v>9</v>
      </c>
      <c r="D19" s="21" t="n">
        <v>33</v>
      </c>
      <c r="E19" s="22" t="n">
        <v>-1.9</v>
      </c>
      <c r="F19" s="23" t="n">
        <v>0.87</v>
      </c>
    </row>
    <row r="21" customFormat="false" ht="15" hidden="false" customHeight="false" outlineLevel="0" collapsed="false">
      <c r="A21" s="11" t="s">
        <v>85</v>
      </c>
    </row>
    <row r="22" customFormat="false" ht="26.85" hidden="false" customHeight="false" outlineLevel="0" collapsed="false">
      <c r="A22" s="3" t="s">
        <v>86</v>
      </c>
      <c r="B22" s="3" t="s">
        <v>87</v>
      </c>
      <c r="C22" s="3" t="s">
        <v>88</v>
      </c>
      <c r="D22" s="3" t="s">
        <v>89</v>
      </c>
      <c r="E22" s="3" t="s">
        <v>90</v>
      </c>
      <c r="F22" s="3" t="s">
        <v>91</v>
      </c>
    </row>
    <row r="23" customFormat="false" ht="15" hidden="false" customHeight="false" outlineLevel="0" collapsed="false">
      <c r="A23" s="4" t="s">
        <v>92</v>
      </c>
      <c r="B23" s="4" t="s">
        <v>93</v>
      </c>
      <c r="C23" s="21" t="n">
        <v>94</v>
      </c>
      <c r="D23" s="21" t="n">
        <v>34</v>
      </c>
      <c r="E23" s="22" t="n">
        <v>16.6</v>
      </c>
      <c r="F23" s="23" t="n">
        <v>1.07</v>
      </c>
    </row>
    <row r="24" customFormat="false" ht="15" hidden="false" customHeight="false" outlineLevel="0" collapsed="false">
      <c r="A24" s="4" t="s">
        <v>92</v>
      </c>
      <c r="B24" s="4" t="s">
        <v>94</v>
      </c>
      <c r="C24" s="21" t="n">
        <v>100</v>
      </c>
      <c r="D24" s="21" t="n">
        <v>36</v>
      </c>
      <c r="E24" s="22" t="n">
        <v>102.2</v>
      </c>
      <c r="F24" s="23" t="n">
        <v>1.4</v>
      </c>
    </row>
    <row r="25" customFormat="false" ht="15" hidden="false" customHeight="false" outlineLevel="0" collapsed="false">
      <c r="A25" s="4" t="s">
        <v>95</v>
      </c>
      <c r="B25" s="4" t="s">
        <v>93</v>
      </c>
      <c r="C25" s="21" t="n">
        <v>96</v>
      </c>
      <c r="D25" s="21" t="n">
        <v>33</v>
      </c>
      <c r="E25" s="22" t="n">
        <v>26.6</v>
      </c>
      <c r="F25" s="23" t="n">
        <v>1.12</v>
      </c>
    </row>
    <row r="26" customFormat="false" ht="15" hidden="false" customHeight="false" outlineLevel="0" collapsed="false">
      <c r="A26" s="4" t="s">
        <v>95</v>
      </c>
      <c r="B26" s="4" t="s">
        <v>94</v>
      </c>
      <c r="C26" s="21" t="n">
        <v>96</v>
      </c>
      <c r="D26" s="21" t="n">
        <v>39</v>
      </c>
      <c r="E26" s="22" t="n">
        <v>157.5</v>
      </c>
      <c r="F26" s="23" t="n">
        <v>1.75</v>
      </c>
    </row>
    <row r="27" customFormat="false" ht="15" hidden="false" customHeight="false" outlineLevel="0" collapsed="false">
      <c r="A27" s="4" t="s">
        <v>96</v>
      </c>
      <c r="B27" s="4" t="s">
        <v>93</v>
      </c>
      <c r="C27" s="21" t="n">
        <v>102</v>
      </c>
      <c r="D27" s="21" t="n">
        <v>34</v>
      </c>
      <c r="E27" s="22" t="n">
        <v>25.9</v>
      </c>
      <c r="F27" s="23" t="n">
        <v>1.11</v>
      </c>
    </row>
    <row r="28" customFormat="false" ht="15" hidden="false" customHeight="false" outlineLevel="0" collapsed="false">
      <c r="A28" s="4" t="s">
        <v>96</v>
      </c>
      <c r="B28" s="4" t="s">
        <v>94</v>
      </c>
      <c r="C28" s="21" t="n">
        <v>105</v>
      </c>
      <c r="D28" s="21" t="n">
        <v>36</v>
      </c>
      <c r="E28" s="22" t="n">
        <v>123.7</v>
      </c>
      <c r="F28" s="23" t="n">
        <v>1.49</v>
      </c>
    </row>
    <row r="30" customFormat="false" ht="15" hidden="false" customHeight="true" outlineLevel="0" collapsed="false">
      <c r="A30" s="24" t="s">
        <v>97</v>
      </c>
      <c r="B30" s="24"/>
      <c r="C30" s="24"/>
      <c r="D30" s="24"/>
      <c r="E30" s="24"/>
      <c r="F30" s="24"/>
    </row>
    <row r="31" customFormat="false" ht="15" hidden="false" customHeight="false" outlineLevel="0" collapsed="false">
      <c r="A31" s="24"/>
      <c r="B31" s="24"/>
      <c r="C31" s="24"/>
      <c r="D31" s="24"/>
      <c r="E31" s="24"/>
      <c r="F31" s="24"/>
    </row>
    <row r="32" customFormat="false" ht="15" hidden="false" customHeight="false" outlineLevel="0" collapsed="false">
      <c r="A32" s="24"/>
      <c r="B32" s="24"/>
      <c r="C32" s="24"/>
      <c r="D32" s="24"/>
      <c r="E32" s="24"/>
      <c r="F32" s="24"/>
    </row>
  </sheetData>
  <mergeCells count="1">
    <mergeCell ref="A30:F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6"/>
    <col collapsed="false" customWidth="true" hidden="false" outlineLevel="0" max="4" min="4" style="0" width="44"/>
  </cols>
  <sheetData>
    <row r="1" customFormat="false" ht="16.15" hidden="false" customHeight="false" outlineLevel="0" collapsed="false">
      <c r="A1" s="16" t="s">
        <v>98</v>
      </c>
    </row>
    <row r="3" customFormat="false" ht="15" hidden="false" customHeight="false" outlineLevel="0" collapsed="false">
      <c r="A3" s="3" t="s">
        <v>99</v>
      </c>
      <c r="B3" s="3" t="s">
        <v>46</v>
      </c>
      <c r="C3" s="3" t="s">
        <v>36</v>
      </c>
      <c r="D3" s="3" t="s">
        <v>4</v>
      </c>
    </row>
    <row r="4" customFormat="false" ht="15" hidden="false" customHeight="false" outlineLevel="0" collapsed="false">
      <c r="A4" s="25" t="n">
        <v>46271</v>
      </c>
      <c r="B4" s="4" t="n">
        <f aca="false">SUMPRODUCT((INT(Operaciones!$C$2:$C$232)=A4)*1)</f>
        <v>1</v>
      </c>
      <c r="C4" s="18" t="n">
        <f aca="false">SUMPRODUCT((INT(Operaciones!$C$2:$C$232)=A4)*Operaciones!$E$2:$E$232)</f>
        <v>0.21</v>
      </c>
      <c r="D4" s="4"/>
    </row>
    <row r="5" customFormat="false" ht="15" hidden="false" customHeight="false" outlineLevel="0" collapsed="false">
      <c r="A5" s="25" t="n">
        <v>46272</v>
      </c>
      <c r="B5" s="4" t="n">
        <f aca="false">SUMPRODUCT((INT(Operaciones!$C$2:$C$232)=A5)*1)</f>
        <v>12</v>
      </c>
      <c r="C5" s="18" t="n">
        <f aca="false">SUMPRODUCT((INT(Operaciones!$C$2:$C$232)=A5)*Operaciones!$E$2:$E$232)</f>
        <v>-18.67</v>
      </c>
      <c r="D5" s="4"/>
    </row>
    <row r="6" customFormat="false" ht="15" hidden="false" customHeight="false" outlineLevel="0" collapsed="false">
      <c r="A6" s="25" t="n">
        <v>46273</v>
      </c>
      <c r="B6" s="4" t="n">
        <f aca="false">SUMPRODUCT((INT(Operaciones!$C$2:$C$232)=A6)*1)</f>
        <v>10</v>
      </c>
      <c r="C6" s="18" t="n">
        <f aca="false">SUMPRODUCT((INT(Operaciones!$C$2:$C$232)=A6)*Operaciones!$E$2:$E$232)</f>
        <v>15.25</v>
      </c>
      <c r="D6" s="4"/>
    </row>
    <row r="7" customFormat="false" ht="15" hidden="false" customHeight="false" outlineLevel="0" collapsed="false">
      <c r="A7" s="25" t="n">
        <v>46274</v>
      </c>
      <c r="B7" s="4" t="n">
        <f aca="false">SUMPRODUCT((INT(Operaciones!$C$2:$C$232)=A7)*1)</f>
        <v>13</v>
      </c>
      <c r="C7" s="18" t="n">
        <f aca="false">SUMPRODUCT((INT(Operaciones!$C$2:$C$232)=A7)*Operaciones!$E$2:$E$232)</f>
        <v>-14.82</v>
      </c>
      <c r="D7" s="4"/>
    </row>
    <row r="8" customFormat="false" ht="15" hidden="false" customHeight="false" outlineLevel="0" collapsed="false">
      <c r="A8" s="25" t="n">
        <v>46275</v>
      </c>
      <c r="B8" s="4" t="n">
        <f aca="false">SUMPRODUCT((INT(Operaciones!$C$2:$C$232)=A8)*1)</f>
        <v>10</v>
      </c>
      <c r="C8" s="18" t="n">
        <f aca="false">SUMPRODUCT((INT(Operaciones!$C$2:$C$232)=A8)*Operaciones!$E$2:$E$232)</f>
        <v>9.68</v>
      </c>
      <c r="D8" s="4"/>
    </row>
    <row r="9" customFormat="false" ht="15" hidden="false" customHeight="false" outlineLevel="0" collapsed="false">
      <c r="A9" s="25" t="n">
        <v>46276</v>
      </c>
      <c r="B9" s="4" t="n">
        <f aca="false">SUMPRODUCT((INT(Operaciones!$C$2:$C$232)=A9)*1)</f>
        <v>9</v>
      </c>
      <c r="C9" s="18" t="n">
        <f aca="false">SUMPRODUCT((INT(Operaciones!$C$2:$C$232)=A9)*Operaciones!$E$2:$E$232)</f>
        <v>-0.200000000000001</v>
      </c>
      <c r="D9" s="4"/>
    </row>
    <row r="10" customFormat="false" ht="15" hidden="false" customHeight="false" outlineLevel="0" collapsed="false">
      <c r="A10" s="25" t="n">
        <v>46278</v>
      </c>
      <c r="B10" s="4" t="n">
        <f aca="false">SUMPRODUCT((INT(Operaciones!$C$2:$C$232)=A10)*1)</f>
        <v>4</v>
      </c>
      <c r="C10" s="18" t="n">
        <f aca="false">SUMPRODUCT((INT(Operaciones!$C$2:$C$232)=A10)*Operaciones!$E$2:$E$232)</f>
        <v>4.6</v>
      </c>
      <c r="D10" s="4"/>
    </row>
    <row r="11" customFormat="false" ht="15" hidden="false" customHeight="false" outlineLevel="0" collapsed="false">
      <c r="A11" s="25" t="n">
        <v>46279</v>
      </c>
      <c r="B11" s="4" t="n">
        <f aca="false">SUMPRODUCT((INT(Operaciones!$C$2:$C$232)=A11)*1)</f>
        <v>11</v>
      </c>
      <c r="C11" s="18" t="n">
        <f aca="false">SUMPRODUCT((INT(Operaciones!$C$2:$C$232)=A11)*Operaciones!$E$2:$E$232)</f>
        <v>-6.98</v>
      </c>
      <c r="D11" s="4"/>
    </row>
    <row r="12" customFormat="false" ht="15" hidden="false" customHeight="false" outlineLevel="0" collapsed="false">
      <c r="A12" s="25" t="n">
        <v>46280</v>
      </c>
      <c r="B12" s="4" t="n">
        <f aca="false">SUMPRODUCT((INT(Operaciones!$C$2:$C$232)=A12)*1)</f>
        <v>12</v>
      </c>
      <c r="C12" s="18" t="n">
        <f aca="false">SUMPRODUCT((INT(Operaciones!$C$2:$C$232)=A12)*Operaciones!$E$2:$E$232)</f>
        <v>8.32</v>
      </c>
      <c r="D12" s="4"/>
    </row>
    <row r="13" customFormat="false" ht="15" hidden="false" customHeight="false" outlineLevel="0" collapsed="false">
      <c r="A13" s="25" t="n">
        <v>46281</v>
      </c>
      <c r="B13" s="4" t="n">
        <f aca="false">SUMPRODUCT((INT(Operaciones!$C$2:$C$232)=A13)*1)</f>
        <v>10</v>
      </c>
      <c r="C13" s="18" t="n">
        <f aca="false">SUMPRODUCT((INT(Operaciones!$C$2:$C$232)=A13)*Operaciones!$E$2:$E$232)</f>
        <v>23.79</v>
      </c>
      <c r="D13" s="4"/>
    </row>
    <row r="14" customFormat="false" ht="15" hidden="false" customHeight="false" outlineLevel="0" collapsed="false">
      <c r="A14" s="25" t="n">
        <v>46282</v>
      </c>
      <c r="B14" s="4" t="n">
        <f aca="false">SUMPRODUCT((INT(Operaciones!$C$2:$C$232)=A14)*1)</f>
        <v>10</v>
      </c>
      <c r="C14" s="18" t="n">
        <f aca="false">SUMPRODUCT((INT(Operaciones!$C$2:$C$232)=A14)*Operaciones!$E$2:$E$232)</f>
        <v>0.609999999999999</v>
      </c>
      <c r="D14" s="4"/>
    </row>
    <row r="15" customFormat="false" ht="15" hidden="false" customHeight="false" outlineLevel="0" collapsed="false">
      <c r="A15" s="25" t="n">
        <v>46283</v>
      </c>
      <c r="B15" s="4" t="n">
        <f aca="false">SUMPRODUCT((INT(Operaciones!$C$2:$C$232)=A15)*1)</f>
        <v>7</v>
      </c>
      <c r="C15" s="18" t="n">
        <f aca="false">SUMPRODUCT((INT(Operaciones!$C$2:$C$232)=A15)*Operaciones!$E$2:$E$232)</f>
        <v>15.25</v>
      </c>
      <c r="D15" s="4"/>
    </row>
    <row r="16" customFormat="false" ht="15" hidden="false" customHeight="false" outlineLevel="0" collapsed="false">
      <c r="A16" s="25" t="n">
        <v>46285</v>
      </c>
      <c r="B16" s="4" t="n">
        <f aca="false">SUMPRODUCT((INT(Operaciones!$C$2:$C$232)=A16)*1)</f>
        <v>5</v>
      </c>
      <c r="C16" s="18" t="n">
        <f aca="false">SUMPRODUCT((INT(Operaciones!$C$2:$C$232)=A16)*Operaciones!$E$2:$E$232)</f>
        <v>-3.45</v>
      </c>
      <c r="D16" s="4"/>
    </row>
    <row r="17" customFormat="false" ht="15" hidden="false" customHeight="false" outlineLevel="0" collapsed="false">
      <c r="A17" s="25" t="n">
        <v>46286</v>
      </c>
      <c r="B17" s="4" t="n">
        <f aca="false">SUMPRODUCT((INT(Operaciones!$C$2:$C$232)=A17)*1)</f>
        <v>15</v>
      </c>
      <c r="C17" s="18" t="n">
        <f aca="false">SUMPRODUCT((INT(Operaciones!$C$2:$C$232)=A17)*Operaciones!$E$2:$E$232)</f>
        <v>7.82</v>
      </c>
      <c r="D17" s="4"/>
    </row>
    <row r="18" customFormat="false" ht="15" hidden="false" customHeight="false" outlineLevel="0" collapsed="false">
      <c r="A18" s="25" t="n">
        <v>46287</v>
      </c>
      <c r="B18" s="4" t="n">
        <f aca="false">SUMPRODUCT((INT(Operaciones!$C$2:$C$232)=A18)*1)</f>
        <v>15</v>
      </c>
      <c r="C18" s="18" t="n">
        <f aca="false">SUMPRODUCT((INT(Operaciones!$C$2:$C$232)=A18)*Operaciones!$E$2:$E$232)</f>
        <v>19.54</v>
      </c>
      <c r="D18" s="4"/>
    </row>
    <row r="19" customFormat="false" ht="15" hidden="false" customHeight="false" outlineLevel="0" collapsed="false">
      <c r="A19" s="25" t="n">
        <v>46288</v>
      </c>
      <c r="B19" s="4" t="n">
        <f aca="false">SUMPRODUCT((INT(Operaciones!$C$2:$C$232)=A19)*1)</f>
        <v>13</v>
      </c>
      <c r="C19" s="18" t="n">
        <f aca="false">SUMPRODUCT((INT(Operaciones!$C$2:$C$232)=A19)*Operaciones!$E$2:$E$232)</f>
        <v>20.15</v>
      </c>
      <c r="D19" s="4"/>
    </row>
    <row r="20" customFormat="false" ht="15" hidden="false" customHeight="false" outlineLevel="0" collapsed="false">
      <c r="A20" s="25" t="n">
        <v>46289</v>
      </c>
      <c r="B20" s="4" t="n">
        <f aca="false">SUMPRODUCT((INT(Operaciones!$C$2:$C$232)=A20)*1)</f>
        <v>13</v>
      </c>
      <c r="C20" s="18" t="n">
        <f aca="false">SUMPRODUCT((INT(Operaciones!$C$2:$C$232)=A20)*Operaciones!$E$2:$E$232)</f>
        <v>-59.97</v>
      </c>
      <c r="D20" s="4" t="s">
        <v>100</v>
      </c>
    </row>
    <row r="21" customFormat="false" ht="15" hidden="false" customHeight="false" outlineLevel="0" collapsed="false">
      <c r="A21" s="25" t="n">
        <v>46290</v>
      </c>
      <c r="B21" s="4" t="n">
        <f aca="false">SUMPRODUCT((INT(Operaciones!$C$2:$C$232)=A21)*1)</f>
        <v>14</v>
      </c>
      <c r="C21" s="18" t="n">
        <f aca="false">SUMPRODUCT((INT(Operaciones!$C$2:$C$232)=A21)*Operaciones!$E$2:$E$232)</f>
        <v>-25.1</v>
      </c>
      <c r="D21" s="4"/>
    </row>
    <row r="22" customFormat="false" ht="15" hidden="false" customHeight="false" outlineLevel="0" collapsed="false">
      <c r="A22" s="25" t="n">
        <v>46292</v>
      </c>
      <c r="B22" s="4" t="n">
        <f aca="false">SUMPRODUCT((INT(Operaciones!$C$2:$C$232)=A22)*1)</f>
        <v>4</v>
      </c>
      <c r="C22" s="18" t="n">
        <f aca="false">SUMPRODUCT((INT(Operaciones!$C$2:$C$232)=A22)*Operaciones!$E$2:$E$232)</f>
        <v>-9.63</v>
      </c>
      <c r="D22" s="4"/>
    </row>
    <row r="23" customFormat="false" ht="15" hidden="false" customHeight="false" outlineLevel="0" collapsed="false">
      <c r="A23" s="25" t="n">
        <v>46293</v>
      </c>
      <c r="B23" s="4" t="n">
        <f aca="false">SUMPRODUCT((INT(Operaciones!$C$2:$C$232)=A23)*1)</f>
        <v>13</v>
      </c>
      <c r="C23" s="18" t="n">
        <f aca="false">SUMPRODUCT((INT(Operaciones!$C$2:$C$232)=A23)*Operaciones!$E$2:$E$232)</f>
        <v>-46.54</v>
      </c>
      <c r="D23" s="4" t="s">
        <v>101</v>
      </c>
    </row>
    <row r="24" customFormat="false" ht="15" hidden="false" customHeight="false" outlineLevel="0" collapsed="false">
      <c r="A24" s="25" t="n">
        <v>46294</v>
      </c>
      <c r="B24" s="4" t="n">
        <f aca="false">SUMPRODUCT((INT(Operaciones!$C$2:$C$232)=A24)*1)</f>
        <v>12</v>
      </c>
      <c r="C24" s="18" t="n">
        <f aca="false">SUMPRODUCT((INT(Operaciones!$C$2:$C$232)=A24)*Operaciones!$E$2:$E$232)</f>
        <v>41.13</v>
      </c>
      <c r="D24" s="4"/>
    </row>
    <row r="25" customFormat="false" ht="15" hidden="false" customHeight="false" outlineLevel="0" collapsed="false">
      <c r="A25" s="25" t="n">
        <v>46295</v>
      </c>
      <c r="B25" s="4" t="n">
        <f aca="false">SUMPRODUCT((INT(Operaciones!$C$2:$C$232)=A25)*1)</f>
        <v>11</v>
      </c>
      <c r="C25" s="18" t="n">
        <f aca="false">SUMPRODUCT((INT(Operaciones!$C$2:$C$232)=A25)*Operaciones!$E$2:$E$232)</f>
        <v>61.24</v>
      </c>
      <c r="D25" s="4" t="s">
        <v>102</v>
      </c>
    </row>
    <row r="26" customFormat="false" ht="15" hidden="false" customHeight="false" outlineLevel="0" collapsed="false">
      <c r="A26" s="25" t="n">
        <v>46296</v>
      </c>
      <c r="B26" s="4" t="n">
        <f aca="false">SUMPRODUCT((INT(Operaciones!$C$2:$C$232)=A26)*1)</f>
        <v>7</v>
      </c>
      <c r="C26" s="18" t="n">
        <f aca="false">SUMPRODUCT((INT(Operaciones!$C$2:$C$232)=A26)*Operaciones!$E$2:$E$232)</f>
        <v>63.35</v>
      </c>
      <c r="D26" s="4" t="s">
        <v>103</v>
      </c>
    </row>
    <row r="27" customFormat="false" ht="15" hidden="false" customHeight="false" outlineLevel="0" collapsed="false">
      <c r="A27" s="20" t="s">
        <v>51</v>
      </c>
      <c r="B27" s="20" t="n">
        <f aca="false">SUM(B4:B26)</f>
        <v>231</v>
      </c>
      <c r="C27" s="10" t="n">
        <f aca="false">SUM(C4:C26)</f>
        <v>105.58</v>
      </c>
    </row>
    <row r="29" customFormat="false" ht="15" hidden="false" customHeight="false" outlineLevel="0" collapsed="false">
      <c r="A29" s="2" t="s">
        <v>104</v>
      </c>
    </row>
  </sheetData>
  <conditionalFormatting sqref="C4:C26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2026-10-01T18:54:13Z</dcterms:created>
  <dc:creator>openpyxl</dc:creator>
  <dc:description/>
  <dc:language>en-US</dc:language>
  <cp:lastModifiedBy/>
  <dcterms:modified xsi:type="dcterms:W3CDTF">2026-10-01T18:54:13Z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